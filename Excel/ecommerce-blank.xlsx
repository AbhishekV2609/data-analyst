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F:\Data_Analyst\Excel\Dashboard1\"/>
    </mc:Choice>
  </mc:AlternateContent>
  <xr:revisionPtr revIDLastSave="0" documentId="13_ncr:1_{3D2B94DB-1243-49EE-BE61-3110E5BEB0B8}" xr6:coauthVersionLast="47" xr6:coauthVersionMax="47" xr10:uidLastSave="{00000000-0000-0000-0000-000000000000}"/>
  <bookViews>
    <workbookView xWindow="-120" yWindow="-120" windowWidth="20730" windowHeight="11160" activeTab="4" xr2:uid="{346724B3-1C49-40AE-AA36-C77CF5D6DD09}"/>
  </bookViews>
  <sheets>
    <sheet name="Line Chart1" sheetId="5" r:id="rId1"/>
    <sheet name="order_mode" sheetId="7" r:id="rId2"/>
    <sheet name="Data" sheetId="1" r:id="rId3"/>
    <sheet name="Questions &amp; KPIs" sheetId="2" r:id="rId4"/>
    <sheet name="Sheet2" sheetId="6" r:id="rId5"/>
  </sheets>
  <definedNames>
    <definedName name="_xlchart.v5.0" hidden="1">'Line Chart1'!$F$73:$G$73</definedName>
    <definedName name="_xlchart.v5.1" hidden="1">'Line Chart1'!$F$74:$G$131</definedName>
    <definedName name="_xlchart.v5.10" hidden="1">'Line Chart1'!$L$73</definedName>
    <definedName name="_xlchart.v5.11" hidden="1">'Line Chart1'!$L$74:$L$131</definedName>
    <definedName name="_xlchart.v5.2" hidden="1">'Line Chart1'!$H$73</definedName>
    <definedName name="_xlchart.v5.3" hidden="1">'Line Chart1'!$H$74:$H$131</definedName>
    <definedName name="_xlchart.v5.4" hidden="1">'Line Chart1'!$F$73:$G$73</definedName>
    <definedName name="_xlchart.v5.5" hidden="1">'Line Chart1'!$F$74:$G$131</definedName>
    <definedName name="_xlchart.v5.6" hidden="1">'Line Chart1'!$H$73</definedName>
    <definedName name="_xlchart.v5.7" hidden="1">'Line Chart1'!$H$74:$H$131</definedName>
    <definedName name="_xlchart.v5.8" hidden="1">'Line Chart1'!$J$73:$K$73</definedName>
    <definedName name="_xlchart.v5.9" hidden="1">'Line Chart1'!$J$74:$K$131</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5" i="5" l="1"/>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74" i="5"/>
  <c r="H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74" i="5"/>
  <c r="G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74" i="5"/>
  <c r="F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L4" i="7"/>
  <c r="L9" i="7"/>
  <c r="K9" i="7"/>
  <c r="J9" i="7"/>
  <c r="I9" i="7"/>
  <c r="H9" i="7"/>
  <c r="L8" i="7"/>
  <c r="K8" i="7"/>
  <c r="J8" i="7"/>
  <c r="I8" i="7"/>
  <c r="H8" i="7"/>
  <c r="L7" i="7"/>
  <c r="K7" i="7"/>
  <c r="J7" i="7"/>
  <c r="I7" i="7"/>
  <c r="H7" i="7"/>
  <c r="L6" i="7"/>
  <c r="K6" i="7"/>
  <c r="J6" i="7"/>
  <c r="I6" i="7"/>
  <c r="H6" i="7"/>
  <c r="L5" i="7"/>
  <c r="K5" i="7"/>
  <c r="J5" i="7"/>
  <c r="I5" i="7"/>
  <c r="H5" i="7"/>
  <c r="K4" i="7"/>
  <c r="J4" i="7"/>
  <c r="I4" i="7"/>
  <c r="E9" i="5"/>
  <c r="D9" i="5"/>
  <c r="C9" i="5"/>
  <c r="B9" i="5"/>
  <c r="A9"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<sst xmlns="http://schemas.openxmlformats.org/spreadsheetml/2006/main" count="14655" uniqueCount="2550">
  <si>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</si>
  <si>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</si>
  <si>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</si>
  <si>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</si>
  <si>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</si>
  <si>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</si>
  <si>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</si>
  <si>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</si>
  <si>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</si>
  <si>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</si>
  <si>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</si>
  <si>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</si>
  <si>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</si>
  <si>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</si>
  <si>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</si>
  <si>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</si>
  <si>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</si>
  <si>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</si>
  <si>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</si>
  <si>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</si>
  <si>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</si>
  <si>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</si>
  <si>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</si>
  <si>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</si>
  <si>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</si>
  <si>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</si>
  <si>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</si>
  <si>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</si>
  <si>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</si>
  <si>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</si>
  <si>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</si>
  <si>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</si>
  <si>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</si>
  <si>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</si>
  <si>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</si>
  <si>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</si>
  <si>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</si>
  <si>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</si>
  <si>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</si>
  <si>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</si>
  <si>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</si>
  <si>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</si>
  <si>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</si>
  <si>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</si>
  <si>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</si>
  <si>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</si>
  <si>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</si>
  <si>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</si>
  <si>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</si>
  <si>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</si>
  <si>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</si>
  <si>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</si>
  <si>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</si>
  <si>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</si>
  <si>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</si>
  <si>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</si>
  <si>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</si>
  <si>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</si>
  <si>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</si>
  <si>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</si>
  <si>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</si>
  <si>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</si>
  <si>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</si>
  <si>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</si>
  <si>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</si>
  <si>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</si>
  <si>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</si>
  <si>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</si>
  <si>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</si>
  <si>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</si>
  <si>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</si>
  <si>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</si>
  <si>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</si>
  <si>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</si>
  <si>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</si>
  <si>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</si>
  <si>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</si>
  <si>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</si>
  <si>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</si>
  <si>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</si>
  <si>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</si>
  <si>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</si>
  <si>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</si>
  <si>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</si>
  <si>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</si>
  <si>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</si>
  <si>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</si>
  <si>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</si>
  <si>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</si>
  <si>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</si>
  <si>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</si>
  <si>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</si>
  <si>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</si>
  <si>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</si>
  <si>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</si>
  <si>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</si>
  <si>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</si>
  <si>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</si>
  <si>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</si>
  <si>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</si>
  <si>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</si>
  <si>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</si>
  <si>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</si>
  <si>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</si>
  <si>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</si>
  <si>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</si>
  <si>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</si>
  <si>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</si>
  <si>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</si>
  <si>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</si>
  <si>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</si>
  <si>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</si>
  <si>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</si>
  <si>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</si>
  <si>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</si>
  <si>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</si>
  <si>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</si>
  <si>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</si>
  <si>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</si>
  <si>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</si>
  <si>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</si>
  <si>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</si>
  <si>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</si>
  <si>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</si>
  <si>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</si>
  <si>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</si>
  <si>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</si>
  <si>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</si>
  <si>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</si>
  <si>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</si>
  <si>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</si>
  <si>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</si>
  <si>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</si>
  <si>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</si>
  <si>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</si>
  <si>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</si>
  <si>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</si>
  <si>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</si>
  <si>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</si>
  <si>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</si>
  <si>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</si>
  <si>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</si>
  <si>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</si>
  <si>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</si>
  <si>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</si>
  <si>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</si>
  <si>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</si>
  <si>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</si>
  <si>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</si>
  <si>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</si>
  <si>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</si>
  <si>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</si>
  <si>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</si>
  <si>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</si>
  <si>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</si>
  <si>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</si>
  <si>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</si>
  <si>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</si>
  <si>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</si>
  <si>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</si>
  <si>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</si>
  <si>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</si>
  <si>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</si>
  <si>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</si>
  <si>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</si>
  <si>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</si>
  <si>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</si>
  <si>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</si>
  <si>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</si>
  <si>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</si>
  <si>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</si>
  <si>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</si>
  <si>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</si>
  <si>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</si>
  <si>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</si>
  <si>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</si>
  <si>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</si>
  <si>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</si>
  <si>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</si>
  <si>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</si>
  <si>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</si>
  <si>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</si>
  <si>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</si>
  <si>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</si>
  <si>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</si>
  <si>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</si>
  <si>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</si>
  <si>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</si>
  <si>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</si>
  <si>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</si>
  <si>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</si>
  <si>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</si>
  <si>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</si>
  <si>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</si>
  <si>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</si>
  <si>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</si>
  <si>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</si>
  <si>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</si>
  <si>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</si>
  <si>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</si>
  <si>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</si>
  <si>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</si>
  <si>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</si>
  <si>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</si>
  <si>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</si>
  <si>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</si>
  <si>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</si>
  <si>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</si>
  <si>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</si>
  <si>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</si>
  <si>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</si>
  <si>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</si>
  <si>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</si>
  <si>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</si>
  <si>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</si>
  <si>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</si>
  <si>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</si>
  <si>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</si>
  <si>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</si>
  <si>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</si>
  <si>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</si>
  <si>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</si>
  <si>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</si>
  <si>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</si>
  <si>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</si>
  <si>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</si>
  <si>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</si>
  <si>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</si>
  <si>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</si>
  <si>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</si>
  <si>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</si>
  <si>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</si>
  <si>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</si>
  <si>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</si>
  <si>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</si>
  <si>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</si>
  <si>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</si>
  <si>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</si>
  <si>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</si>
  <si>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</si>
  <si>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</si>
  <si>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</si>
  <si>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</si>
  <si>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</si>
  <si>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</si>
  <si>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</si>
  <si>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</si>
  <si>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</si>
  <si>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</si>
  <si>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</si>
  <si>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</si>
  <si>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</si>
  <si>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</si>
  <si>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</si>
  <si>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</si>
  <si>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</si>
  <si>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</si>
  <si>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</si>
  <si>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</si>
  <si>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</si>
  <si>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</si>
  <si>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</si>
  <si>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</si>
  <si>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</si>
  <si>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</si>
  <si>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</si>
  <si>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</si>
  <si>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</si>
  <si>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</si>
  <si>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</si>
  <si>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</si>
  <si>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</si>
  <si>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</si>
  <si>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</si>
  <si>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</si>
  <si>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</si>
  <si>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</si>
  <si>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</si>
  <si>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</si>
  <si>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</si>
  <si>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</si>
  <si>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</si>
  <si>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</si>
  <si>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</si>
  <si>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</si>
  <si>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</si>
  <si>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</si>
  <si>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</si>
  <si>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</si>
  <si>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</si>
  <si>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</si>
  <si>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</si>
  <si>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</si>
  <si>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</si>
  <si>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</si>
  <si>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</si>
  <si>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</si>
  <si>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</si>
  <si>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</si>
  <si>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</si>
  <si>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</si>
  <si>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</si>
  <si>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</si>
  <si>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</si>
  <si>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</si>
  <si>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</si>
  <si>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</si>
  <si>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</si>
  <si>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</si>
  <si>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</si>
  <si>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</si>
  <si>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</si>
  <si>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</si>
  <si>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</si>
  <si>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</si>
  <si>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</si>
  <si>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</si>
  <si>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</si>
  <si>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</si>
  <si>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</si>
  <si>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</si>
  <si>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</si>
  <si>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</si>
  <si>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</si>
  <si>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</si>
  <si>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</si>
  <si>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</si>
  <si>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</si>
  <si>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</si>
  <si>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</si>
  <si>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</si>
  <si>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</si>
  <si>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</si>
  <si>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</si>
  <si>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</si>
  <si>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</si>
  <si>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</si>
  <si>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</si>
  <si>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</si>
  <si>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</si>
  <si>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</si>
  <si>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</si>
  <si>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</si>
  <si>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</si>
  <si>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</si>
  <si>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</si>
  <si>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</si>
  <si>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</si>
  <si>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</si>
  <si>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</si>
  <si>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</si>
  <si>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</si>
  <si>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</si>
  <si>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</si>
  <si>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</si>
  <si>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</si>
  <si>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</si>
  <si>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</si>
  <si>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</si>
  <si>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</si>
  <si>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</si>
  <si>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</si>
  <si>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</si>
  <si>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</si>
  <si>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</si>
  <si>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</si>
  <si>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</si>
  <si>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</si>
  <si>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</si>
  <si>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</si>
  <si>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</si>
  <si>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</si>
  <si>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</si>
  <si>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</si>
  <si>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</si>
  <si>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</si>
  <si>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</si>
  <si>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</si>
  <si>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</si>
  <si>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</si>
  <si>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</si>
  <si>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</si>
  <si>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</si>
  <si>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</si>
  <si>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</si>
  <si>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</si>
  <si>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</si>
  <si>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</si>
  <si>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</si>
  <si>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</si>
  <si>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</si>
  <si>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</si>
  <si>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</si>
  <si>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</si>
  <si>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</si>
  <si>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</si>
  <si>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</si>
  <si>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</si>
  <si>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</si>
  <si>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</si>
  <si>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</si>
  <si>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</si>
  <si>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</si>
  <si>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</si>
  <si>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</si>
  <si>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</si>
  <si>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</si>
  <si>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</si>
  <si>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</si>
  <si>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</si>
  <si>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</si>
  <si>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</si>
  <si>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</si>
  <si>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</si>
  <si>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</si>
  <si>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</si>
  <si>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</si>
  <si>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</si>
  <si>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</si>
  <si>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</si>
  <si>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</si>
  <si>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</si>
  <si>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</si>
  <si>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</si>
  <si>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</si>
  <si>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</si>
  <si>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</si>
  <si>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</si>
  <si>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</si>
  <si>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</si>
  <si>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</si>
  <si>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</si>
  <si>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</si>
  <si>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</si>
  <si>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</si>
  <si>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</si>
  <si>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</si>
  <si>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</si>
  <si>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</si>
  <si>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</si>
  <si>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</si>
  <si>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</si>
  <si>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</si>
  <si>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</si>
  <si>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</si>
  <si>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</si>
  <si>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</si>
  <si>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</si>
  <si>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</si>
  <si>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</si>
  <si>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</si>
  <si>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</si>
  <si>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</si>
  <si>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</si>
  <si>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</si>
  <si>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</si>
  <si>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</si>
  <si>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</si>
  <si>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</si>
  <si>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</si>
  <si>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</si>
  <si>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</si>
  <si>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</si>
  <si>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</si>
  <si>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</si>
  <si>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</si>
  <si>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</si>
  <si>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</si>
  <si>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</si>
  <si>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</si>
  <si>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</si>
  <si>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</si>
  <si>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</si>
  <si>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</si>
  <si>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</si>
  <si>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</si>
  <si>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</si>
  <si>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</si>
  <si>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</si>
  <si>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</si>
  <si>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</si>
  <si>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</si>
  <si>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</si>
  <si>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</si>
  <si>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</si>
  <si>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</si>
  <si>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</si>
  <si>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</si>
  <si>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</si>
  <si>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</si>
  <si>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</si>
  <si>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</si>
  <si>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</si>
  <si>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</si>
  <si>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</si>
  <si>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</si>
  <si>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</si>
  <si>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</si>
  <si>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</si>
  <si>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</si>
  <si>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</si>
  <si>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</si>
  <si>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</si>
  <si>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</si>
  <si>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</si>
  <si>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</si>
  <si>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</si>
  <si>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</si>
  <si>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</si>
  <si>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</si>
  <si>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</si>
  <si>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</si>
  <si>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</si>
  <si>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</si>
  <si>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</si>
  <si>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</si>
  <si>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</si>
  <si>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</si>
  <si>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</si>
  <si>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</si>
  <si>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</si>
  <si>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</si>
  <si>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</si>
  <si>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</si>
  <si>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</si>
  <si>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</si>
  <si>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</si>
  <si>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</si>
  <si>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</si>
  <si>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</si>
  <si>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</si>
  <si>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</si>
  <si>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</si>
  <si>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</si>
  <si>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</si>
  <si>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</si>
  <si>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</si>
  <si>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</si>
  <si>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</si>
  <si>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</si>
  <si>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</si>
  <si>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</si>
  <si>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</si>
  <si>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</si>
  <si>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</si>
  <si>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</si>
  <si>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</si>
  <si>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</si>
  <si>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</si>
  <si>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</si>
  <si>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</si>
  <si>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</si>
  <si>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</si>
  <si>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</si>
  <si>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</si>
  <si>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</si>
  <si>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</si>
  <si>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</si>
  <si>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</si>
  <si>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</si>
  <si>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</si>
  <si>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</si>
  <si>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</si>
  <si>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</si>
  <si>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</si>
  <si>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</si>
  <si>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</si>
  <si>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</si>
  <si>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</si>
  <si>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</si>
  <si>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</si>
  <si>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</si>
  <si>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</si>
  <si>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</si>
  <si>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</si>
  <si>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</si>
  <si>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</si>
  <si>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</si>
  <si>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</si>
  <si>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</si>
  <si>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</si>
  <si>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</si>
  <si>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</si>
  <si>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</si>
  <si>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</si>
  <si>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</si>
  <si>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</si>
  <si>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</si>
  <si>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</si>
  <si>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</si>
  <si>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</si>
  <si>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</si>
  <si>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</si>
  <si>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</si>
  <si>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</si>
  <si>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</si>
  <si>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</si>
  <si>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</si>
  <si>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</si>
  <si>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</si>
  <si>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</si>
  <si>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</si>
  <si>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</si>
  <si>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</si>
  <si>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</si>
  <si>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</si>
  <si>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</si>
  <si>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</si>
  <si>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</si>
  <si>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</si>
  <si>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</si>
  <si>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</si>
  <si>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</si>
  <si>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</si>
  <si>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</si>
  <si>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</si>
  <si>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</si>
  <si>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</si>
  <si>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</si>
  <si>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</si>
  <si>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</si>
  <si>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</si>
  <si>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</si>
  <si>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</si>
  <si>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</si>
  <si>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</si>
  <si>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</si>
  <si>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</si>
  <si>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</si>
  <si>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</si>
  <si>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</si>
  <si>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</si>
  <si>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</si>
  <si>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</si>
  <si>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</si>
  <si>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</si>
  <si>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</si>
  <si>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</si>
  <si>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</si>
  <si>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</si>
  <si>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</si>
  <si>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</si>
  <si>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</si>
  <si>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</si>
  <si>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</si>
  <si>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</si>
  <si>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</si>
  <si>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</si>
  <si>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</si>
  <si>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</si>
  <si>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</si>
  <si>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</si>
  <si>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</si>
  <si>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</si>
  <si>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</si>
  <si>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</si>
  <si>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</si>
  <si>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</si>
  <si>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</si>
  <si>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</si>
  <si>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</si>
  <si>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</si>
  <si>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</si>
  <si>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</si>
  <si>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</si>
  <si>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</si>
  <si>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</si>
  <si>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</si>
  <si>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</si>
  <si>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</si>
  <si>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</si>
  <si>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</si>
  <si>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</si>
  <si>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</si>
  <si>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</si>
  <si>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</si>
  <si>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</si>
  <si>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</si>
  <si>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</si>
  <si>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</si>
  <si>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</si>
  <si>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</si>
  <si>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</si>
  <si>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</si>
  <si>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</si>
  <si>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</si>
  <si>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</si>
  <si>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</si>
  <si>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</si>
  <si>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</si>
  <si>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</si>
  <si>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</si>
  <si>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</si>
  <si>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</si>
  <si>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</si>
  <si>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</si>
  <si>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</si>
  <si>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</si>
  <si>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</si>
  <si>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</si>
  <si>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</si>
  <si>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</si>
  <si>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</si>
  <si>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</si>
  <si>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</si>
  <si>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</si>
  <si>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</si>
  <si>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</si>
  <si>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</si>
  <si>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</si>
  <si>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</si>
  <si>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</si>
  <si>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</si>
  <si>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</si>
  <si>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</si>
  <si>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</si>
  <si>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</si>
  <si>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</si>
  <si>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</si>
  <si>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</si>
  <si>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</si>
  <si>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</si>
  <si>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</si>
  <si>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</si>
  <si>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</si>
  <si>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</si>
  <si>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</si>
  <si>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</si>
  <si>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</si>
  <si>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</si>
  <si>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</si>
  <si>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</si>
  <si>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</si>
  <si>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</si>
  <si>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</si>
  <si>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</si>
  <si>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</si>
  <si>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</si>
  <si>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</si>
  <si>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</si>
  <si>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</si>
  <si>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</si>
  <si>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</si>
  <si>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</si>
  <si>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</si>
  <si>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</si>
  <si>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</si>
  <si>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</si>
  <si>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</si>
  <si>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</si>
  <si>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</si>
  <si>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</si>
  <si>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</si>
  <si>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</si>
  <si>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</si>
  <si>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</si>
  <si>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</si>
  <si>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</si>
  <si>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</si>
  <si>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</si>
  <si>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</si>
  <si>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</si>
  <si>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</si>
  <si>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</si>
  <si>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</si>
  <si>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</si>
  <si>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</si>
  <si>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</si>
  <si>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</si>
  <si>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</si>
  <si>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</si>
  <si>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</si>
  <si>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</si>
  <si>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</si>
  <si>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</si>
  <si>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</si>
  <si>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</si>
  <si>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</si>
  <si>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</si>
  <si>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</si>
  <si>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</si>
  <si>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</si>
  <si>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</si>
  <si>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</si>
  <si>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</si>
  <si>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</si>
  <si>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</si>
  <si>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</si>
  <si>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</si>
  <si>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</si>
  <si>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</si>
  <si>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</si>
  <si>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</si>
  <si>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</si>
  <si>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</si>
  <si>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</si>
  <si>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</si>
  <si>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</si>
  <si>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</si>
  <si>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</si>
  <si>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</si>
  <si>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</si>
  <si>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</si>
  <si>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</si>
  <si>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</si>
  <si>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</si>
  <si>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</si>
  <si>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</si>
  <si>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</si>
  <si>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</si>
  <si>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</si>
  <si>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</si>
  <si>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</si>
  <si>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</si>
  <si>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</si>
  <si>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</si>
  <si>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</si>
  <si>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</si>
  <si>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</si>
  <si>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</si>
  <si>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</si>
  <si>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</si>
  <si>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</si>
  <si>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</si>
  <si>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</si>
  <si>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</si>
  <si>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</si>
  <si>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</si>
  <si>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</si>
  <si>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</si>
  <si>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</si>
  <si>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</si>
  <si>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</si>
  <si>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</si>
  <si>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</si>
  <si>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</si>
  <si>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</si>
  <si>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</si>
  <si>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</si>
  <si>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</si>
  <si>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</si>
  <si>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</si>
  <si>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</si>
  <si>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</si>
  <si>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</si>
  <si>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</si>
  <si>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</si>
  <si>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</si>
  <si>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</si>
  <si>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</si>
  <si>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</si>
  <si>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</si>
  <si>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</si>
  <si>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</si>
  <si>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</si>
  <si>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</si>
  <si>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</si>
  <si>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</si>
  <si>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</si>
  <si>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</si>
  <si>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</si>
  <si>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</si>
  <si>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</si>
  <si>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</si>
  <si>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</si>
  <si>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</si>
  <si>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</si>
  <si>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</si>
  <si>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</si>
  <si>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</si>
  <si>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</si>
  <si>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</si>
  <si>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</si>
  <si>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</si>
  <si>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</si>
  <si>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</si>
  <si>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</si>
  <si>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</si>
  <si>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</si>
  <si>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</si>
  <si>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</si>
  <si>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</si>
  <si>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</si>
  <si>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</si>
  <si>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</si>
  <si>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</si>
  <si>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</si>
  <si>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</si>
  <si>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</si>
  <si>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</si>
  <si>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</si>
  <si>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</si>
  <si>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</si>
  <si>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</si>
  <si>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</si>
  <si>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</si>
  <si>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</si>
  <si>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</si>
  <si>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</si>
  <si>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</si>
  <si>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</si>
  <si>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</si>
  <si>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</si>
  <si>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</si>
  <si>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</si>
  <si>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</si>
  <si>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</si>
  <si>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</si>
  <si>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</si>
  <si>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</si>
  <si>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</si>
  <si>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</si>
  <si>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</si>
  <si>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</si>
  <si>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</si>
  <si>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</si>
  <si>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</si>
  <si>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</si>
  <si>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</si>
  <si>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</si>
  <si>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</si>
  <si>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</si>
  <si>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</si>
  <si>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</si>
  <si>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</si>
  <si>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</si>
  <si>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</si>
  <si>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</si>
  <si>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</si>
  <si>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</si>
  <si>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</si>
  <si>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</si>
  <si>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</si>
  <si>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</si>
  <si>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</si>
  <si>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</si>
  <si>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</si>
  <si>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</si>
  <si>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</si>
  <si>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</si>
  <si>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</si>
  <si>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</si>
  <si>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</si>
  <si>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</si>
  <si>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</si>
  <si>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</si>
  <si>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</si>
  <si>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</si>
  <si>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</si>
  <si>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</si>
  <si>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</si>
  <si>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</si>
  <si>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</si>
  <si>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</si>
  <si>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</si>
  <si>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</si>
  <si>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</si>
  <si>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</si>
  <si>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</si>
  <si>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</si>
  <si>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</si>
  <si>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</si>
  <si>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</si>
  <si>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</si>
  <si>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</si>
  <si>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</si>
  <si>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</si>
  <si>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</si>
  <si>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</si>
  <si>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</si>
  <si>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</si>
  <si>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</si>
  <si>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</si>
  <si>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</si>
  <si>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</si>
  <si>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</si>
  <si>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</si>
  <si>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</si>
  <si>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</si>
  <si>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</si>
  <si>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</si>
  <si>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</si>
  <si>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</si>
  <si>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</si>
  <si>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</si>
  <si>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</si>
  <si>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</si>
  <si>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</si>
  <si>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</si>
  <si>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</si>
  <si>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</si>
  <si>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</si>
  <si>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</si>
  <si>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</si>
  <si>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</si>
  <si>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</si>
  <si>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</si>
  <si>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</si>
  <si>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</si>
  <si>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</si>
  <si>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</si>
  <si>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</si>
  <si>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</si>
  <si>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</si>
  <si>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</si>
  <si>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</si>
  <si>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</si>
  <si>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</si>
  <si>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</si>
  <si>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</si>
  <si>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</si>
  <si>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</si>
  <si>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</si>
  <si>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</si>
  <si>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</si>
  <si>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</si>
  <si>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</si>
  <si>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</si>
  <si>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</si>
  <si>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</si>
  <si>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</si>
  <si>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</si>
  <si>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</si>
  <si>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</si>
  <si>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</si>
  <si>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</si>
  <si>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</si>
  <si>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</si>
  <si>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</si>
  <si>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</si>
  <si>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</si>
  <si>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</si>
  <si>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</si>
  <si>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</si>
  <si>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</si>
  <si>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</si>
  <si>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</si>
  <si>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</si>
  <si>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</si>
  <si>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</si>
  <si>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</si>
  <si>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</si>
  <si>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</si>
  <si>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</si>
  <si>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</si>
  <si>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</si>
  <si>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</si>
  <si>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</si>
  <si>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</si>
  <si>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</si>
  <si>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</si>
  <si>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</si>
  <si>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</si>
  <si>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</si>
  <si>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</si>
  <si>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</si>
  <si>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</si>
  <si>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</si>
  <si>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</si>
  <si>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</si>
  <si>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</si>
  <si>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</si>
  <si>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</si>
  <si>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</si>
  <si>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</si>
  <si>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</si>
  <si>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</si>
  <si>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</si>
  <si>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</si>
  <si>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</si>
  <si>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</si>
  <si>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</si>
  <si>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</si>
  <si>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</si>
  <si>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</si>
  <si>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</si>
  <si>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</si>
  <si>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</si>
  <si>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</si>
  <si>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</si>
  <si>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</si>
  <si>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</si>
  <si>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</si>
  <si>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</si>
  <si>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</si>
  <si>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</si>
  <si>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</si>
  <si>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</si>
  <si>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</si>
  <si>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</si>
  <si>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</si>
  <si>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</si>
  <si>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</si>
  <si>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</si>
  <si>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</si>
  <si>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</si>
  <si>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</si>
  <si>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</si>
  <si>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</si>
  <si>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</si>
  <si>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</si>
  <si>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</si>
  <si>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</si>
  <si>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</si>
  <si>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</si>
  <si>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</si>
  <si>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</si>
  <si>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</si>
  <si>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</si>
  <si>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</si>
  <si>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</si>
  <si>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</si>
  <si>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</si>
  <si>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</si>
  <si>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</si>
  <si>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</si>
  <si>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</si>
  <si>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</si>
  <si>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</si>
  <si>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</si>
  <si>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</si>
  <si>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</si>
  <si>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</si>
  <si>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</si>
  <si>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</si>
  <si>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</si>
  <si>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</si>
  <si>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</si>
  <si>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</si>
  <si>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</si>
  <si>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</si>
  <si>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</si>
  <si>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</si>
  <si>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</si>
  <si>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</si>
  <si>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</si>
  <si>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</si>
  <si>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</si>
  <si>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</si>
  <si>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</si>
  <si>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</si>
  <si>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</si>
  <si>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</si>
  <si>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</si>
  <si>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</si>
  <si>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</si>
  <si>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</si>
  <si>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</si>
  <si>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</si>
  <si>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</si>
  <si>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</si>
  <si>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</si>
  <si>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</si>
  <si>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</si>
  <si>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</si>
  <si>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</si>
  <si>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</si>
  <si>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</si>
  <si>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</si>
  <si>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</si>
  <si>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</si>
  <si>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</si>
  <si>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</si>
  <si>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</si>
  <si>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</si>
  <si>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</si>
  <si>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</si>
  <si>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</si>
  <si>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</si>
  <si>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</si>
  <si>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</si>
  <si>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</si>
  <si>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</si>
  <si>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</si>
  <si>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</si>
  <si>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</si>
  <si>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</si>
  <si>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</si>
  <si>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</si>
  <si>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</si>
  <si>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</si>
  <si>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</si>
  <si>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</si>
  <si>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</si>
  <si>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</si>
  <si>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</si>
  <si>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</si>
  <si>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</si>
  <si>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</si>
  <si>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</si>
  <si>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</si>
  <si>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</si>
  <si>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</si>
  <si>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</si>
  <si>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</si>
  <si>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</si>
  <si>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</si>
  <si>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</si>
  <si>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</si>
  <si>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</si>
  <si>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</si>
  <si>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</si>
  <si>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</si>
  <si>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</si>
  <si>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</si>
  <si>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</si>
  <si>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</si>
  <si>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</si>
  <si>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</si>
  <si>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</si>
  <si>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</si>
  <si>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</si>
  <si>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</si>
  <si>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</si>
  <si>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</si>
  <si>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</si>
  <si>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</si>
  <si>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</si>
  <si>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</si>
  <si>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</si>
  <si>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</si>
  <si>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</si>
  <si>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</si>
  <si>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</si>
  <si>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</si>
  <si>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</si>
  <si>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</si>
  <si>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</si>
  <si>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</si>
  <si>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</si>
  <si>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</si>
  <si>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</si>
  <si>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</si>
  <si>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</si>
  <si>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</si>
  <si>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</si>
  <si>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</si>
  <si>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</si>
  <si>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</si>
  <si>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</si>
  <si>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</si>
  <si>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</si>
  <si>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</si>
  <si>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</si>
  <si>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</si>
  <si>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</si>
  <si>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</si>
  <si>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</si>
  <si>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</si>
  <si>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</si>
  <si>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</si>
  <si>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</si>
  <si>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</si>
  <si>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</si>
  <si>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</si>
  <si>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</si>
  <si>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</si>
  <si>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</si>
  <si>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</si>
  <si>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</si>
  <si>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</si>
  <si>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</si>
  <si>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</si>
  <si>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</si>
  <si>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</si>
  <si>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</si>
  <si>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</si>
  <si>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</si>
  <si>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</si>
  <si>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</si>
  <si>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</si>
  <si>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</si>
  <si>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</si>
  <si>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</si>
  <si>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</si>
  <si>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</si>
  <si>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</si>
  <si>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</si>
  <si>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</si>
  <si>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</si>
  <si>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</si>
  <si>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</si>
  <si>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</si>
  <si>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</si>
  <si>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</si>
  <si>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</si>
  <si>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</si>
  <si>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</si>
  <si>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</si>
  <si>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</si>
  <si>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</si>
  <si>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</si>
  <si>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</si>
  <si>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</si>
  <si>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</si>
  <si>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</si>
  <si>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</si>
  <si>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</si>
  <si>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</si>
  <si>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</si>
  <si>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</si>
  <si>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</si>
  <si>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</si>
  <si>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</si>
  <si>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</si>
  <si>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</si>
  <si>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</si>
  <si>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</si>
  <si>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</si>
  <si>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</si>
  <si>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</si>
  <si>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</si>
  <si>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</si>
  <si>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</si>
  <si>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</si>
  <si>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</si>
  <si>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</si>
  <si>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</si>
  <si>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</si>
  <si>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</si>
  <si>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</si>
  <si>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</si>
  <si>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</si>
  <si>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</si>
  <si>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</si>
  <si>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</si>
  <si>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</si>
  <si>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</si>
  <si>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</si>
  <si>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</si>
  <si>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</si>
  <si>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</si>
  <si>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</si>
  <si>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</si>
  <si>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</si>
  <si>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</si>
  <si>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</si>
  <si>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</si>
  <si>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</si>
  <si>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</si>
  <si>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</si>
  <si>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</si>
  <si>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</si>
  <si>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</si>
  <si>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</si>
  <si>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</si>
  <si>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</si>
  <si>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</si>
  <si>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</si>
  <si>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</si>
  <si>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</si>
  <si>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</si>
  <si>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</si>
  <si>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</si>
  <si>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</si>
  <si>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</si>
  <si>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</si>
  <si>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</si>
  <si>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</si>
  <si>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</si>
  <si>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</si>
  <si>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</si>
  <si>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</si>
  <si>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</si>
  <si>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</si>
  <si>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</si>
  <si>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</si>
  <si>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</si>
  <si>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</si>
  <si>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</si>
  <si>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</si>
  <si>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</si>
  <si>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</si>
  <si>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</si>
  <si>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</si>
  <si>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</si>
  <si>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</si>
  <si>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</si>
  <si>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</si>
  <si>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</si>
  <si>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</si>
  <si>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</si>
  <si>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</si>
  <si>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</si>
  <si>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</si>
  <si>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</si>
  <si>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</si>
  <si>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</si>
  <si>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</si>
  <si>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</si>
  <si>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</si>
  <si>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</si>
  <si>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</si>
  <si>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</si>
  <si>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</si>
  <si>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</si>
  <si>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</si>
  <si>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</si>
  <si>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</si>
  <si>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</si>
  <si>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</si>
  <si>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</si>
  <si>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</si>
  <si>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</si>
  <si>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</si>
  <si>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</si>
  <si>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</si>
  <si>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</si>
  <si>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</si>
  <si>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</si>
  <si>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</si>
  <si>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</si>
  <si>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</si>
  <si>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</si>
  <si>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</si>
  <si>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</si>
  <si>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</si>
  <si>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</si>
  <si>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</si>
  <si>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</si>
  <si>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</si>
  <si>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</si>
  <si>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</si>
  <si>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</si>
  <si>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</si>
  <si>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</si>
  <si>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</si>
  <si>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</si>
  <si>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</si>
  <si>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</si>
  <si>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</si>
  <si>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</si>
  <si>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</si>
  <si>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</si>
  <si>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</si>
  <si>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</si>
  <si>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</si>
  <si>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</si>
  <si>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</si>
  <si>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</si>
  <si>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</si>
  <si>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</si>
  <si>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</si>
  <si>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</si>
  <si>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</si>
  <si>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</si>
  <si>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</si>
  <si>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</si>
  <si>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</si>
  <si>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</si>
  <si>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</si>
  <si>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</si>
  <si>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</si>
  <si>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</si>
  <si>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</si>
  <si>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</si>
  <si>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</si>
  <si>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</si>
  <si>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</si>
  <si>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</si>
  <si>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</si>
  <si>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</si>
  <si>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</si>
  <si>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</si>
  <si>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</si>
  <si>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</si>
  <si>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</si>
  <si>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</si>
  <si>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</si>
  <si>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</si>
  <si>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</si>
  <si>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</si>
  <si>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</si>
  <si>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</si>
  <si>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</si>
  <si>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</si>
  <si>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</si>
  <si>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</si>
  <si>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</si>
  <si>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</si>
  <si>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</si>
  <si>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</si>
  <si>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</si>
  <si>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</si>
  <si>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</si>
  <si>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</si>
  <si>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</si>
  <si>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</si>
  <si>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</si>
  <si>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</si>
  <si>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</si>
  <si>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</si>
  <si>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</si>
  <si>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</si>
  <si>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</si>
  <si>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</si>
  <si>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</si>
  <si>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</si>
  <si>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</si>
  <si>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</si>
  <si>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</si>
  <si>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</si>
  <si>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</si>
  <si>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</si>
  <si>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</si>
  <si>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</si>
  <si>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</si>
  <si>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</si>
  <si>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</si>
  <si>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</si>
  <si>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</si>
  <si>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</si>
  <si>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</si>
  <si>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</si>
  <si>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</si>
  <si>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</si>
  <si>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</si>
  <si>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</si>
  <si>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</si>
  <si>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</si>
  <si>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</si>
  <si>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</si>
  <si>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</si>
  <si>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</si>
  <si>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</si>
  <si>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</si>
  <si>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</si>
  <si>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</si>
  <si>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</si>
  <si>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</si>
  <si>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</si>
  <si>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</si>
  <si>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</si>
  <si>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</si>
  <si>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</si>
  <si>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</si>
  <si>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</si>
  <si>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</si>
  <si>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</si>
  <si>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</si>
  <si>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</si>
  <si>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</si>
  <si>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</si>
  <si>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</si>
  <si>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</si>
  <si>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</si>
  <si>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</si>
  <si>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</si>
  <si>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</si>
  <si>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</si>
  <si>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</si>
  <si>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</si>
  <si>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</si>
  <si>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</si>
  <si>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</si>
  <si>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</si>
  <si>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</si>
  <si>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</si>
  <si>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</si>
  <si>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</si>
  <si>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</si>
  <si>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</si>
  <si>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</si>
  <si>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</si>
  <si>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</si>
  <si>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</si>
  <si>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</si>
  <si>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</si>
  <si>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</si>
  <si>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</si>
  <si>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</si>
  <si>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</si>
  <si>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</si>
  <si>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</si>
  <si>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</si>
  <si>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</si>
  <si>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</si>
  <si>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</si>
  <si>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</si>
  <si>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</si>
  <si>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</si>
  <si>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</si>
  <si>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</si>
  <si>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</si>
  <si>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</si>
  <si>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</si>
  <si>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</si>
  <si>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</si>
  <si>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</si>
  <si>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</si>
  <si>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</si>
  <si>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</si>
  <si>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</si>
  <si>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</si>
  <si>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</si>
  <si>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</si>
  <si>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</si>
  <si>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</si>
  <si>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</si>
  <si>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</si>
  <si>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</si>
  <si>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</si>
  <si>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</si>
  <si>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</si>
  <si>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</si>
  <si>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</si>
  <si>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</si>
  <si>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</si>
  <si>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</si>
  <si>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</si>
  <si>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</si>
  <si>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</si>
  <si>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</si>
  <si>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</si>
  <si>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</si>
  <si>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</si>
  <si>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</si>
  <si>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</si>
  <si>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</si>
  <si>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</si>
  <si>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</si>
  <si>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</si>
  <si>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</si>
  <si>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</si>
  <si>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</si>
  <si>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</si>
  <si>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</si>
  <si>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</si>
  <si>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</si>
  <si>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</si>
  <si>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</si>
  <si>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</si>
  <si>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</si>
  <si>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</si>
  <si>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</si>
  <si>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</si>
  <si>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</si>
  <si>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</si>
  <si>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</si>
  <si>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</si>
  <si>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</si>
  <si>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</si>
  <si>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</si>
  <si>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</si>
  <si>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</si>
  <si>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</si>
  <si>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</si>
  <si>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</si>
  <si>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</si>
  <si>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</si>
  <si>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</si>
  <si>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</si>
  <si>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</si>
  <si>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</si>
  <si>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</si>
  <si>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</si>
  <si>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</si>
  <si>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</si>
  <si>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</si>
  <si>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</si>
  <si>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</si>
  <si>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</si>
  <si>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</si>
  <si>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</si>
  <si>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</si>
  <si>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</si>
  <si>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</si>
  <si>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</si>
  <si>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</si>
  <si>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</si>
  <si>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</si>
  <si>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</si>
  <si>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</si>
  <si>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</si>
  <si>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</si>
  <si>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</si>
  <si>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</si>
  <si>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</si>
  <si>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</si>
  <si>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</si>
  <si>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</si>
  <si>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</si>
  <si>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</si>
  <si>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</si>
  <si>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</si>
  <si>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</si>
  <si>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</si>
  <si>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</si>
  <si>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</si>
  <si>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</si>
  <si>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</si>
  <si>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</si>
  <si>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</si>
  <si>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</si>
  <si>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</si>
  <si>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</si>
  <si>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</si>
  <si>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</si>
  <si>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</si>
  <si>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</si>
  <si>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</si>
  <si>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</si>
  <si>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</si>
  <si>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</si>
  <si>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</si>
  <si>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</si>
  <si>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</si>
  <si>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</si>
  <si>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</si>
  <si>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</si>
  <si>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</si>
  <si>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</si>
  <si>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</si>
  <si>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</si>
  <si>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</si>
  <si>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</si>
  <si>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</si>
  <si>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</si>
  <si>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</si>
  <si>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</si>
  <si>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</si>
  <si>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</si>
  <si>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</si>
  <si>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</si>
  <si>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</si>
  <si>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</si>
  <si>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</si>
  <si>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</si>
  <si>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</si>
  <si>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</si>
  <si>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</si>
  <si>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</si>
  <si>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</si>
  <si>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</si>
  <si>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</si>
  <si>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</si>
  <si>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</si>
  <si>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</si>
  <si>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</si>
  <si>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</si>
  <si>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</si>
  <si>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</si>
  <si>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</si>
  <si>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</si>
  <si>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</si>
  <si>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</si>
  <si>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</si>
  <si>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</si>
  <si>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</si>
  <si>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</si>
  <si>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</si>
  <si>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</si>
  <si>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</si>
  <si>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</si>
  <si>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</si>
  <si>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</si>
  <si>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</si>
  <si>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</si>
  <si>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</si>
  <si>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</si>
  <si>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</si>
  <si>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</si>
  <si>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</si>
  <si>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</si>
  <si>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</si>
  <si>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</si>
  <si>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</si>
  <si>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</si>
  <si>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</si>
  <si>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</si>
  <si>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</si>
  <si>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</si>
  <si>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</si>
  <si>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</si>
  <si>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</si>
  <si>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</si>
  <si>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</si>
  <si>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</si>
  <si>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</si>
  <si>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</si>
  <si>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</si>
  <si>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</si>
  <si>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</si>
  <si>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</si>
  <si>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</si>
  <si>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</si>
  <si>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</si>
  <si>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</si>
  <si>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</si>
  <si>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</si>
  <si>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</si>
  <si>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</si>
  <si>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</si>
  <si>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</si>
  <si>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</si>
  <si>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</si>
  <si>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</si>
  <si>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</si>
  <si>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</si>
  <si>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</si>
  <si>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</si>
  <si>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</si>
  <si>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</si>
  <si>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</si>
  <si>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</si>
  <si>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</si>
  <si>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</si>
  <si>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</si>
  <si>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</si>
  <si>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</si>
  <si>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</si>
  <si>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</si>
  <si>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</si>
  <si>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</si>
  <si>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</si>
  <si>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</si>
  <si>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</si>
  <si>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</si>
  <si>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</si>
  <si>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</si>
  <si>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</si>
  <si>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</si>
  <si>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</si>
  <si>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</si>
  <si>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</si>
  <si>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</si>
  <si>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</si>
  <si>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</si>
  <si>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</si>
  <si>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</si>
  <si>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</si>
  <si>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</si>
  <si>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</si>
  <si>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</si>
  <si>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</si>
  <si>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</si>
  <si>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</si>
  <si>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</si>
  <si>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</si>
  <si>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</si>
  <si>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</si>
  <si>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</si>
  <si>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</si>
  <si>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</si>
  <si>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</si>
  <si>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</si>
  <si>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</si>
  <si>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</si>
  <si>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</si>
  <si>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</si>
  <si>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</si>
  <si>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</si>
  <si>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</si>
  <si>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</si>
  <si>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</si>
  <si>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</si>
  <si>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</si>
  <si>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</si>
  <si>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</si>
  <si>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</si>
  <si>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</si>
  <si>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</si>
  <si>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</si>
  <si>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</si>
  <si>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</si>
  <si>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</si>
  <si>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</si>
  <si>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</si>
  <si>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</si>
  <si>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</si>
  <si>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</si>
  <si>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</si>
  <si>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</si>
  <si>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</si>
  <si>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</si>
  <si>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</si>
  <si>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</si>
  <si>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</si>
  <si>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</si>
  <si>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</si>
  <si>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</si>
  <si>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</si>
  <si>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</si>
  <si>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</si>
  <si>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</si>
  <si>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</si>
  <si>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</si>
  <si>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</si>
  <si>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</si>
  <si>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</si>
  <si>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</si>
  <si>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</si>
  <si>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</si>
  <si>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</si>
  <si>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</si>
  <si>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</si>
  <si>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</si>
  <si>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</si>
  <si>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</si>
  <si>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</si>
  <si>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</si>
  <si>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</si>
  <si>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</si>
  <si>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</si>
  <si>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</si>
  <si>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</si>
  <si>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</si>
  <si>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</si>
  <si>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</si>
  <si>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</si>
  <si>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</si>
  <si>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</si>
  <si>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</si>
  <si>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</si>
  <si>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</si>
  <si>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</si>
  <si>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</si>
  <si>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</si>
  <si>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</si>
  <si>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</si>
  <si>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</si>
  <si>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</si>
  <si>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</si>
  <si>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</si>
  <si>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</si>
  <si>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</si>
  <si>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</si>
  <si>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</si>
  <si>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</si>
  <si>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</si>
  <si>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</si>
  <si>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</si>
  <si>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</si>
  <si>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</si>
  <si>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</si>
  <si>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</si>
  <si>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</si>
  <si>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</si>
  <si>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</si>
  <si>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</si>
  <si>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</si>
  <si>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</si>
  <si>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</si>
  <si>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</si>
  <si>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</si>
  <si>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</si>
  <si>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</si>
  <si>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</si>
  <si>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</si>
  <si>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</si>
  <si>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</si>
  <si>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</si>
  <si>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</si>
  <si>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</si>
  <si>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</si>
  <si>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</si>
  <si>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</si>
  <si>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</si>
  <si>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</si>
  <si>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</si>
  <si>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</si>
  <si>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</si>
  <si>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</si>
  <si>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</si>
  <si>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</si>
  <si>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</si>
  <si>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</si>
  <si>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</si>
  <si>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</si>
  <si>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</si>
  <si>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</si>
  <si>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</si>
  <si>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</si>
  <si>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</si>
  <si>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</si>
  <si>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</si>
  <si>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</si>
  <si>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</si>
  <si>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</si>
  <si>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</si>
  <si>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</si>
  <si>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</si>
  <si>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</si>
  <si>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</si>
  <si>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</si>
  <si>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</si>
  <si>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</si>
  <si>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</si>
  <si>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</si>
  <si>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</si>
  <si>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</si>
  <si>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</si>
  <si>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</si>
  <si>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</si>
  <si>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</si>
  <si>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</si>
  <si>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</si>
  <si>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</si>
  <si>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</si>
  <si>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</si>
  <si>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</si>
  <si>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</si>
  <si>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</si>
  <si>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</si>
  <si>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</si>
  <si>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</si>
  <si>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</si>
  <si>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</si>
  <si>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</si>
  <si>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</si>
  <si>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</si>
  <si>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</si>
  <si>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</si>
  <si>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</si>
  <si>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</si>
  <si>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</si>
  <si>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</si>
  <si>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</si>
  <si>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</si>
  <si>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</si>
  <si>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</si>
  <si>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</si>
  <si>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</si>
  <si>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</si>
  <si>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</si>
  <si>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</si>
  <si>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</si>
  <si>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</si>
  <si>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</si>
  <si>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</si>
  <si>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</si>
  <si>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</si>
  <si>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</si>
  <si>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</si>
  <si>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</si>
  <si>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</si>
  <si>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</si>
  <si>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</si>
  <si>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</si>
  <si>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</si>
  <si>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</si>
  <si>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</si>
  <si>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</si>
  <si>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</si>
  <si>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</si>
  <si>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</si>
  <si>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</si>
  <si>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</si>
  <si>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</si>
  <si>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</si>
  <si>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</si>
  <si>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</si>
  <si>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</si>
  <si>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</si>
  <si>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</si>
  <si>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</si>
  <si>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</si>
  <si>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</si>
  <si>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</si>
  <si>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</si>
  <si>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</si>
  <si>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</si>
  <si>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</si>
  <si>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</si>
  <si>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</si>
  <si>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</si>
  <si>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</si>
  <si>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</si>
  <si>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</si>
  <si>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</si>
  <si>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</si>
  <si>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</si>
  <si>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</si>
  <si>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</si>
  <si>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</si>
  <si>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</si>
  <si>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</si>
  <si>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</si>
  <si>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</si>
  <si>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</si>
  <si>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</si>
  <si>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</si>
  <si>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</si>
  <si>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</si>
  <si>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</si>
  <si>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</si>
  <si>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</si>
  <si>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</si>
  <si>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</si>
  <si>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</si>
  <si>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</si>
  <si>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</si>
  <si>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</si>
  <si>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</si>
  <si>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</si>
  <si>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</si>
  <si>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</si>
  <si>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</si>
  <si>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</si>
  <si>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</si>
  <si>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</si>
  <si>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</si>
  <si>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</si>
  <si>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</si>
  <si>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</si>
  <si>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</si>
  <si>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</si>
  <si>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</si>
  <si>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</si>
  <si>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</si>
  <si>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</si>
  <si>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</si>
  <si>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</si>
  <si>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</si>
  <si>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</si>
  <si>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</si>
  <si>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</si>
  <si>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</si>
  <si>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</si>
  <si>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</si>
  <si>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</si>
  <si>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</si>
  <si>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</si>
  <si>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</si>
  <si>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</si>
  <si>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</si>
  <si>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</si>
  <si>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</si>
  <si>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</si>
  <si>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</si>
  <si>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</si>
  <si>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</si>
  <si>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</si>
  <si>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</si>
  <si>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</si>
  <si>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</si>
  <si>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</si>
  <si>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</si>
  <si>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</si>
  <si>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</si>
  <si>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</si>
  <si>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</si>
  <si>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</si>
  <si>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</si>
  <si>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</si>
  <si>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</si>
  <si>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</si>
  <si>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</si>
  <si>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</si>
  <si>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</si>
  <si>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</si>
  <si>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</si>
  <si>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</si>
  <si>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</si>
  <si>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</si>
  <si>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</si>
  <si>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</si>
  <si>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</si>
  <si>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</si>
  <si>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</si>
  <si>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</si>
  <si>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</si>
  <si>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</si>
  <si>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</si>
  <si>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</si>
  <si>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</si>
  <si>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</si>
  <si>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</si>
  <si>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</si>
  <si>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</si>
  <si>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</si>
  <si>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</si>
  <si>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</si>
  <si>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</si>
  <si>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</si>
  <si>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</si>
  <si>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</si>
  <si>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</si>
  <si>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</si>
  <si>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</si>
  <si>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</si>
  <si>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</si>
  <si>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</si>
  <si>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</si>
  <si>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</si>
  <si>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</si>
  <si>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</si>
  <si>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</si>
  <si>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</si>
  <si>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</si>
  <si>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</si>
  <si>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</si>
  <si>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</si>
  <si>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</si>
  <si>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</si>
  <si>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</si>
  <si>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</si>
  <si>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</si>
  <si>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</si>
  <si>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</si>
  <si>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</si>
  <si>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</si>
  <si>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</si>
  <si>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</si>
  <si>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</si>
  <si>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</si>
  <si>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</si>
  <si>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</si>
  <si>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</si>
  <si>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</si>
  <si>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</si>
  <si>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</si>
  <si>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</si>
  <si>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</si>
  <si>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</si>
  <si>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</si>
  <si>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</si>
  <si>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</si>
  <si>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</si>
  <si>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</si>
  <si>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</si>
  <si>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</si>
  <si>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</si>
  <si>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</si>
  <si>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</si>
  <si>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</si>
  <si>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</si>
  <si>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</si>
  <si>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</si>
  <si>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</si>
  <si>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</si>
  <si>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</si>
  <si>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</si>
  <si>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</si>
  <si>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</si>
  <si>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</si>
  <si>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</si>
  <si>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</si>
  <si>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</si>
  <si>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</si>
  <si>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</si>
  <si>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</si>
  <si>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</si>
  <si>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</si>
  <si>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</si>
  <si>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</si>
  <si>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</si>
  <si>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</si>
  <si>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</si>
  <si>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</si>
  <si>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</si>
  <si>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</si>
  <si>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</si>
  <si>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</si>
  <si>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</si>
  <si>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</si>
  <si>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</si>
  <si>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</si>
  <si>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</si>
  <si>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</si>
  <si>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</si>
  <si>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</si>
  <si>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</si>
  <si>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</si>
  <si>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</si>
  <si>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</si>
  <si>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</si>
  <si>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</si>
  <si>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</si>
  <si>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</si>
  <si>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</si>
  <si>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</si>
  <si>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</si>
  <si>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</si>
  <si>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</si>
  <si>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</si>
  <si>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</si>
  <si>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</si>
  <si>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</si>
  <si>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</si>
  <si>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</si>
  <si>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</si>
  <si>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</si>
  <si>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</si>
  <si>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</si>
  <si>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</si>
  <si>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</si>
  <si>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</si>
  <si>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</si>
  <si>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</si>
  <si>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</si>
  <si>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</si>
  <si>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</si>
  <si>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</si>
  <si>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</si>
  <si>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</si>
  <si>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</si>
  <si>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</si>
  <si>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</si>
  <si>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</si>
  <si>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</si>
  <si>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</si>
  <si>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</si>
  <si>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</si>
  <si>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</si>
  <si>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</si>
  <si>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</si>
  <si>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</si>
  <si>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</si>
  <si>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</si>
  <si>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</si>
  <si>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</si>
  <si>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</si>
  <si>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</si>
  <si>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</si>
  <si>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</si>
  <si>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</si>
  <si>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</si>
  <si>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</si>
  <si>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</si>
  <si>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</si>
  <si>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</si>
  <si>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</si>
  <si>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</si>
  <si>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</si>
  <si>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</si>
  <si>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</si>
  <si>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</si>
  <si>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</si>
  <si>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</si>
  <si>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</si>
  <si>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</si>
  <si>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</si>
  <si>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</si>
  <si>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</si>
  <si>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</si>
  <si>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</si>
  <si>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</si>
  <si>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</si>
  <si>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</si>
  <si>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</si>
  <si>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</si>
  <si>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</si>
  <si>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</si>
  <si>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</si>
  <si>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</si>
  <si>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</si>
  <si>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</si>
  <si>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</si>
  <si>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</si>
  <si>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</si>
  <si>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</si>
  <si>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</si>
  <si>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</si>
  <si>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</si>
  <si>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</si>
  <si>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</si>
  <si>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</si>
  <si>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</si>
  <si>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</si>
  <si>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</si>
  <si>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</si>
  <si>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</si>
  <si>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</si>
  <si>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</si>
  <si>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</si>
  <si>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</si>
  <si>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</si>
  <si>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</si>
  <si>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</si>
  <si>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</si>
  <si>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</si>
  <si>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</si>
  <si>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</si>
  <si>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</si>
  <si>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</si>
  <si>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</si>
  <si>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</si>
  <si>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</si>
  <si>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</si>
  <si>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</si>
  <si>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</si>
  <si>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</si>
  <si>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</si>
  <si>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</si>
  <si>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</si>
  <si>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</si>
  <si>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</si>
  <si>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</si>
  <si>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</si>
  <si>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</si>
  <si>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</si>
  <si>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</si>
  <si>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</si>
  <si>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</si>
  <si>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</si>
  <si>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</si>
  <si>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</si>
  <si>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</si>
  <si>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</si>
  <si>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</si>
  <si>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</si>
  <si>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</si>
  <si>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</si>
  <si>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</si>
  <si>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</si>
  <si>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</si>
  <si>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</si>
  <si>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</si>
  <si>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</si>
  <si>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</si>
  <si>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</si>
  <si>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</si>
  <si>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</si>
  <si>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</si>
  <si>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</si>
  <si>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</si>
  <si>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</si>
  <si>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</si>
  <si>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</si>
  <si>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</si>
  <si>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</si>
  <si>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</si>
  <si>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</si>
  <si>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</si>
  <si>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</si>
  <si>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</si>
  <si>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</si>
  <si>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</si>
  <si>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</si>
  <si>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</si>
  <si>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</si>
  <si>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</si>
  <si>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</si>
  <si>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</si>
  <si>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</si>
  <si>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</si>
  <si>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</si>
  <si>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</si>
  <si>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</si>
  <si>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</si>
  <si>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</si>
  <si>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</si>
  <si>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</si>
  <si>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</si>
  <si>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</si>
  <si>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</si>
  <si>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</si>
  <si>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</si>
  <si>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</si>
  <si>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</si>
  <si>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</si>
  <si>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</si>
  <si>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</si>
  <si>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</si>
  <si>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</si>
  <si>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</si>
  <si>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</si>
  <si>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</si>
  <si>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</si>
  <si>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</si>
  <si>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</si>
  <si>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</si>
  <si>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</si>
  <si>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</si>
  <si>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</si>
  <si>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</si>
  <si>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</si>
  <si>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</si>
  <si>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</si>
  <si>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</si>
  <si>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</si>
  <si>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</si>
  <si>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</si>
  <si>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</si>
  <si>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</si>
  <si>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</si>
  <si>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</si>
  <si>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</si>
  <si>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</si>
  <si>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</si>
  <si>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</si>
  <si>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</si>
  <si>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</si>
  <si>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</si>
  <si>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</si>
  <si>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</si>
  <si>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</si>
  <si>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</si>
  <si>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</si>
  <si>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</si>
  <si>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</si>
  <si>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</si>
  <si>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</si>
  <si>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</si>
  <si>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</si>
  <si>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</si>
  <si>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</si>
  <si>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</si>
  <si>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</si>
  <si>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</si>
  <si>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</si>
  <si>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</si>
  <si>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</si>
  <si>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</si>
  <si>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</si>
  <si>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</si>
  <si>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</si>
  <si>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</si>
  <si>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</si>
  <si>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</si>
  <si>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</si>
  <si>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</si>
  <si>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</si>
  <si>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</si>
  <si>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</si>
  <si>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</si>
  <si>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</si>
  <si>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</si>
  <si>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</si>
  <si>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</si>
  <si>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</si>
  <si>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</si>
  <si>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</si>
  <si>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</si>
  <si>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</si>
  <si>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Avg.Rating</t>
  </si>
  <si>
    <t>Avg. Days</t>
  </si>
  <si>
    <t>For trends</t>
  </si>
  <si>
    <t>Row Labels</t>
  </si>
  <si>
    <t>Grand Total</t>
  </si>
  <si>
    <t>Column Labels</t>
  </si>
  <si>
    <t>Female</t>
  </si>
  <si>
    <t>Male</t>
  </si>
  <si>
    <t>Other</t>
  </si>
  <si>
    <t>Unknown</t>
  </si>
  <si>
    <t>For matrix</t>
  </si>
  <si>
    <t>Order Qty Analysis</t>
  </si>
  <si>
    <t>6 To 10</t>
  </si>
  <si>
    <t>More than 10</t>
  </si>
  <si>
    <t>Product Qty</t>
  </si>
  <si>
    <t>Geographical Analysis</t>
  </si>
  <si>
    <t>Map chart stuff Qty</t>
  </si>
  <si>
    <t>Map Chart For Amount</t>
  </si>
  <si>
    <t>Shipment Duration analysis</t>
  </si>
  <si>
    <t>Customer Satisfaction</t>
  </si>
  <si>
    <t>Jan</t>
  </si>
  <si>
    <t>Feb</t>
  </si>
  <si>
    <t>Mar</t>
  </si>
  <si>
    <t>Customer Satisfaction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</si>
</sst>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2809]#,##0"/>
    <numFmt numFmtId="165" formatCode="0.0%"/>
  </numFmts>
  <fonts count="3">
    <font>
      <sz val="11"/>
      <color theme="1"/>
      <name val="Aptos Narrow"/>
      <family val="2"/>
      <scheme val="minor"/>
    </font>
    <font>
      <b/>
      <sz val="11"/>
      <color theme="1"/>
      <name val="Aptos Narrow"/>
      <family val="2"/>
      <scheme val="minor"/>
    </font>
    <font>
      <sz val="11"/>
      <color theme="1"/>
      <name val="Aptos Narrow"/>
      <scheme val="minor"/>
    </font>
  </fonts>
  <fills count="4">
    <fill>
      <patternFill patternType="none"/>
    </fill>
    <fill>
      <patternFill patternType="gray125"/>
    </fill>
    <fill>
      <patternFill patternType="solid">
        <fgColor theme="9"/>
        <bgColor indexed="64"/>
      </patternFill>
    </fill>
    <fill>
      <patternFill patternType="solid">
        <fgColor theme="3" tint="0.499984740745262"/>
        <bgColor indexed="64"/>
      </patternFill>
    </fill>
  </fills>
  <borders count="11">
    <border>
      <left/>
      <right/>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center" wrapText="1"/>
    </xf>
    <xf numFmtId="165" fontId="0" fillId="0" borderId="0" xfId="0" applyNumberFormat="1" applyAlignment="1">
      <alignment horizontal="center" wrapText="1"/>
    </xf>
    <xf numFmtId="0" fontId="0" fillId="0" borderId="10" xfId="0" applyBorder="1"/>
    <xf numFmtId="0" fontId="0" fillId="0" borderId="0" xfId="0" applyBorder="1"/>
    <xf numFmtId="165" fontId="2" fillId="0" borderId="5" xfId="0" applyNumberFormat="1" applyFont="1" applyBorder="1" applyAlignment="1">
      <alignment horizontal="center" vertical="center" wrapText="1"/>
    </xf>
    <xf numFmtId="0" fontId="2" fillId="0" borderId="1" xfId="0" applyFont="1" applyBorder="1" applyAlignment="1">
      <alignment horizontal="lef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left" vertical="center" wrapText="1"/>
    </xf>
    <xf numFmtId="165" fontId="2" fillId="0" borderId="6" xfId="0" applyNumberFormat="1" applyFont="1" applyBorder="1" applyAlignment="1">
      <alignment horizontal="center" vertical="center" wrapText="1"/>
    </xf>
    <xf numFmtId="0" fontId="2" fillId="0" borderId="7" xfId="0" applyFont="1" applyBorder="1" applyAlignment="1">
      <alignment horizontal="left" vertical="center" wrapText="1"/>
    </xf>
    <xf numFmtId="165" fontId="2" fillId="0" borderId="8" xfId="0" applyNumberFormat="1" applyFont="1" applyBorder="1" applyAlignment="1">
      <alignment horizontal="center" vertical="center" wrapText="1"/>
    </xf>
    <xf numFmtId="165" fontId="2" fillId="0" borderId="9" xfId="0" applyNumberFormat="1" applyFont="1" applyBorder="1" applyAlignment="1">
      <alignment horizontal="center" vertical="center" wrapText="1"/>
    </xf>
  </cellXfs>
  <cellStyles count="1">
    <cellStyle name="Normal" xfId="0" builtinId="0"/>
  </cellStyles>
  <dxfs count="6">
    <dxf>
      <fill>
        <patternFill>
          <bgColor theme="1" tint="0.24994659260841701"/>
        </patternFill>
      </fill>
    </dxf>
    <dxf>
      <numFmt numFmtId="0" formatCode="General"/>
    </dxf>
    <dxf>
      <numFmt numFmtId="0" formatCode="General"/>
    </dxf>
    <dxf>
      <numFmt numFmtId="0" formatCode="General"/>
    </dxf>
    <dxf>
      <numFmt numFmtId="166" formatCode="d\-mmm\-yy"/>
    </dxf>
    <dxf>
      <numFmt numFmtId="166" formatCode="d\-mmm\-yy"/>
    </dxf>
  </dxfs>
  <tableStyles count="1" defaultTableStyle="TableStyleMedium2" defaultPivotStyle="PivotStyleLight16">
    <tableStyle name="Slicer Style 1" pivot="0" table="0" count="1" xr9:uid="{3F1DB280-7315-4D70-9259-6FEB4FB606DC}">
      <tableStyleElement type="wholeTable" dxfId="0"/>
    </tableStyle>
  </tableStyles>
  <colors>
    <mruColors>
      <color rgb="FF7CCE3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[ecommerce-blank.xlsx]Line Chart1!PvtTrends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0"/>
              <a:t>Last</a:t>
            </a:r>
            <a:r>
              <a:rPr lang="en-IN" sz="1100" b="0" baseline="0"/>
              <a:t> 13 days Trends Qty &amp; Amt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70C0"/>
            </a:solidFill>
            <a:round/>
          </a:ln>
          <a:effectLst>
            <a:outerShdw blurRad="57150" dist="19050" dir="5400000" algn="ctr" rotWithShape="0">
              <a:srgbClr val="000000">
                <a:alpha val="65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70C0"/>
              </a:solidFill>
              <a:round/>
            </a:ln>
            <a:effectLst>
              <a:outerShdw blurRad="57150" dist="19050" dir="5400000" algn="ctr" rotWithShape="0">
                <a:srgbClr val="000000">
                  <a:alpha val="6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70C0"/>
            </a:solidFill>
            <a:round/>
          </a:ln>
          <a:effectLst>
            <a:outerShdw blurRad="57150" dist="19050" dir="5400000" algn="ctr" rotWithShape="0">
              <a:srgbClr val="000000">
                <a:alpha val="65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70C0"/>
              </a:solidFill>
              <a:round/>
            </a:ln>
            <a:effectLst>
              <a:outerShdw blurRad="57150" dist="19050" dir="5400000" algn="ctr" rotWithShape="0">
                <a:srgbClr val="000000">
                  <a:alpha val="6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0070C0"/>
            </a:solidFill>
            <a:round/>
          </a:ln>
          <a:effectLst>
            <a:outerShdw blurRad="57150" dist="19050" dir="5400000" algn="ctr" rotWithShape="0">
              <a:srgbClr val="000000">
                <a:alpha val="65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70C0"/>
              </a:solidFill>
              <a:round/>
            </a:ln>
            <a:effectLst>
              <a:outerShdw blurRad="57150" dist="19050" dir="5400000" algn="ctr" rotWithShape="0">
                <a:srgbClr val="000000">
                  <a:alpha val="6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1948833193236E-2"/>
          <c:y val="8.3333333333333329E-2"/>
          <c:w val="0.77474711085950854"/>
          <c:h val="0.82188402230971125"/>
        </c:manualLayout>
      </c:layout>
      <c:lineChart>
        <c:grouping val="standard"/>
        <c:varyColors val="0"/>
        <c:ser>
          <c:idx val="0"/>
          <c:order val="0"/>
          <c:tx>
            <c:strRef>
              <c:f>'Line Chart1'!$B$14</c:f>
              <c:strCache>
                <c:ptCount val="1"/>
                <c:pt idx="0">
                  <c:v>Sum of Quantity</c:v>
                </c:pt>
              </c:strCache>
            </c:strRef>
          </c:tx>
          <c:spPr>
            <a:ln w="34925" cap="rnd">
              <a:solidFill>
                <a:srgbClr val="0070C0"/>
              </a:solidFill>
              <a:round/>
            </a:ln>
            <a:effectLst>
              <a:outerShdw blurRad="57150" dist="19050" dir="5400000" algn="ctr" rotWithShape="0">
                <a:srgbClr val="000000">
                  <a:alpha val="65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70C0"/>
                </a:solidFill>
                <a:round/>
              </a:ln>
              <a:effectLst>
                <a:outerShdw blurRad="57150" dist="19050" dir="5400000" algn="ctr" rotWithShape="0">
                  <a:srgbClr val="000000">
                    <a:alpha val="65000"/>
                  </a:srgbClr>
                </a:outerShdw>
              </a:effectLst>
            </c:spPr>
          </c:marker>
          <c:cat>
            <c:strRef>
              <c:f>'Line Chart1'!$A$15:$A$28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'Line Chart1'!$B$15:$B$28</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B33E-42F3-9CD0-5EE474108D9D}"/>
            </c:ext>
          </c:extLst>
        </c:ser>
        <c:dLbls>
          <c:showLegendKey val="0"/>
          <c:showVal val="0"/>
          <c:showCatName val="0"/>
          <c:showSerName val="0"/>
          <c:showPercent val="0"/>
          <c:showBubbleSize val="0"/>
        </c:dLbls>
        <c:marker val="1"/>
        <c:smooth val="0"/>
        <c:axId val="561998863"/>
        <c:axId val="561996367"/>
      </c:lineChart>
      <c:lineChart>
        <c:grouping val="standard"/>
        <c:varyColors val="0"/>
        <c:ser>
          <c:idx val="1"/>
          <c:order val="1"/>
          <c:tx>
            <c:strRef>
              <c:f>'Line Chart1'!$C$14</c:f>
              <c:strCache>
                <c:ptCount val="1"/>
                <c:pt idx="0">
                  <c:v>Sum of Amount</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strRef>
              <c:f>'Line Chart1'!$A$15:$A$28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'Line Chart1'!$C$15:$C$28</c:f>
              <c:numCache>
                <c:formatCode>[$$-2809]#,##0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B33E-42F3-9CD0-5EE474108D9D}"/>
            </c:ext>
          </c:extLst>
        </c:ser>
        <c:dLbls>
          <c:showLegendKey val="0"/>
          <c:showVal val="0"/>
          <c:showCatName val="0"/>
          <c:showSerName val="0"/>
          <c:showPercent val="0"/>
          <c:showBubbleSize val="0"/>
        </c:dLbls>
        <c:marker val="1"/>
        <c:smooth val="0"/>
        <c:axId val="559667615"/>
        <c:axId val="559670111"/>
      </c:lineChart>
      <c:catAx>
        <c:axId val="561998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996367"/>
        <c:crosses val="autoZero"/>
        <c:auto val="1"/>
        <c:lblAlgn val="ctr"/>
        <c:lblOffset val="100"/>
        <c:noMultiLvlLbl val="0"/>
      </c:catAx>
      <c:valAx>
        <c:axId val="561996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998863"/>
        <c:crosses val="autoZero"/>
        <c:crossBetween val="between"/>
      </c:valAx>
      <c:valAx>
        <c:axId val="559670111"/>
        <c:scaling>
          <c:orientation val="minMax"/>
        </c:scaling>
        <c:delete val="0"/>
        <c:axPos val="r"/>
        <c:numFmt formatCode="[$$-2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667615"/>
        <c:crosses val="max"/>
        <c:crossBetween val="between"/>
      </c:valAx>
      <c:catAx>
        <c:axId val="559667615"/>
        <c:scaling>
          <c:orientation val="minMax"/>
        </c:scaling>
        <c:delete val="1"/>
        <c:axPos val="b"/>
        <c:numFmt formatCode="General" sourceLinked="1"/>
        <c:majorTickMark val="none"/>
        <c:minorTickMark val="none"/>
        <c:tickLblPos val="nextTo"/>
        <c:crossAx val="55967011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[ecommerce-blank.xlsx]Line Chart1!PvtOrders</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How Many</a:t>
            </a:r>
            <a:r>
              <a:rPr lang="en-US" sz="1100" baseline="0"/>
              <a:t> the Buy?</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w="19050">
            <a:solidFill>
              <a:schemeClr val="tx1"/>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635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Chart1'!$B$33</c:f>
              <c:strCache>
                <c:ptCount val="1"/>
                <c:pt idx="0">
                  <c:v>Total</c:v>
                </c:pt>
              </c:strCache>
            </c:strRef>
          </c:tx>
          <c:spPr>
            <a:solidFill>
              <a:schemeClr val="accent6">
                <a:lumMod val="75000"/>
              </a:schemeClr>
            </a:solidFill>
            <a:ln w="6350">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'Line Chart1'!$A$34:$A$41</c:f>
              <c:strCache>
                <c:ptCount val="7"/>
                <c:pt idx="0">
                  <c:v>1</c:v>
                </c:pt>
                <c:pt idx="1">
                  <c:v>2</c:v>
                </c:pt>
                <c:pt idx="2">
                  <c:v>3</c:v>
                </c:pt>
                <c:pt idx="3">
                  <c:v>4</c:v>
                </c:pt>
                <c:pt idx="4">
                  <c:v>5</c:v>
                </c:pt>
                <c:pt idx="5">
                  <c:v>6 To 10</c:v>
                </c:pt>
                <c:pt idx="6">
                  <c:v>More than 10</c:v>
                </c:pt>
              </c:strCache>
            </c:strRef>
          </c:cat>
          <c:val>
            <c:numRef>
              <c:f>'Line Chart1'!$B$34:$B$41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6C1-4BB5-810F-4D0DDC756659}"/>
            </c:ext>
          </c:extLst>
        </c:ser>
        <c:dLbls>
          <c:dLblPos val="outEnd"/>
          <c:showLegendKey val="0"/>
          <c:showVal val="1"/>
          <c:showCatName val="0"/>
          <c:showSerName val="0"/>
          <c:showPercent val="0"/>
          <c:showBubbleSize val="0"/>
        </c:dLbls>
        <c:gapWidth val="10"/>
        <c:overlap val="-24"/>
        <c:axId val="559706303"/>
        <c:axId val="559710047"/>
      </c:barChart>
      <c:catAx>
        <c:axId val="5597063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9710047"/>
        <c:crosses val="autoZero"/>
        <c:auto val="1"/>
        <c:lblAlgn val="ctr"/>
        <c:lblOffset val="100"/>
        <c:noMultiLvlLbl val="0"/>
      </c:catAx>
      <c:valAx>
        <c:axId val="559710047"/>
        <c:scaling>
          <c:orientation val="minMax"/>
        </c:scaling>
        <c:delete val="1"/>
        <c:axPos val="l"/>
        <c:numFmt formatCode="General" sourceLinked="1"/>
        <c:majorTickMark val="out"/>
        <c:minorTickMark val="none"/>
        <c:tickLblPos val="nextTo"/>
        <c:crossAx val="55970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[ecommerce-blank.xlsx]Line Chart1!PvtProducts</c:name>
    <c:fmtId val="40"/>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latin typeface="+mn-lt"/>
              </a:rPr>
              <a:t>Which</a:t>
            </a:r>
            <a:r>
              <a:rPr lang="en-IN" sz="1100" baseline="0">
                <a:latin typeface="+mn-lt"/>
              </a:rPr>
              <a:t> Products are Popular</a:t>
            </a:r>
            <a:r>
              <a:rPr lang="en-IN" sz="1100" b="1" baseline="0">
                <a:latin typeface="+mn-lt"/>
              </a:rPr>
              <a:t>?</a:t>
            </a:r>
            <a:r>
              <a:rPr lang="en-IN" sz="1100" b="0" baseline="0">
                <a:latin typeface="+mn-lt"/>
              </a:rPr>
              <a:t> Breakdown by     Orders</a:t>
            </a:r>
            <a:endParaRPr lang="en-IN" b="0"/>
          </a:p>
        </c:rich>
      </c:tx>
      <c:layout>
        <c:manualLayout>
          <c:xMode val="edge"/>
          <c:yMode val="edge"/>
          <c:x val="5.6153287918680003E-2"/>
          <c:y val="1.5843491785749005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'Line Chart1'!$B$46:$B$47</c:f>
              <c:strCache>
                <c:ptCount val="1"/>
                <c:pt idx="0">
                  <c:v>Female</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'Line Chart1'!$A$48:$A$68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'Line Chart1'!$B$48:$B$68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975-4CE4-8803-234B4FFC6BE5}"/>
            </c:ext>
          </c:extLst>
        </c:ser>
        <c:ser>
          <c:idx val="1"/>
          <c:order val="1"/>
          <c:tx>
            <c:strRef>
              <c:f>'Line Chart1'!$C$46:$C$47</c:f>
              <c:strCache>
                <c:ptCount val="1"/>
                <c:pt idx="0">
                  <c:v>Male</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'Line Chart1'!$A$48:$A$68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'Line Chart1'!$C$48:$C$68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975-4CE4-8803-234B4FFC6BE5}"/>
            </c:ext>
          </c:extLst>
        </c:ser>
        <c:ser>
          <c:idx val="2"/>
          <c:order val="2"/>
          <c:tx>
            <c:strRef>
              <c:f>'Line Chart1'!$D$46:$D$47</c:f>
              <c:strCache>
                <c:ptCount val="1"/>
                <c:pt idx="0">
                  <c:v>Other</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'Line Chart1'!$A$48:$A$68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'Line Chart1'!$D$48:$D$68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975-4CE4-8803-234B4FFC6BE5}"/>
            </c:ext>
          </c:extLst>
        </c:ser>
        <c:ser>
          <c:idx val="3"/>
          <c:order val="3"/>
          <c:tx>
            <c:strRef>
              <c:f>'Line Chart1'!$E$46:$E$47</c:f>
              <c:strCache>
                <c:ptCount val="1"/>
                <c:pt idx="0">
                  <c:v>Unknown</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'Line Chart1'!$A$48:$A$68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'Line Chart1'!$E$48:$E$68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975-4CE4-8803-234B4FFC6BE5}"/>
            </c:ext>
          </c:extLst>
        </c:ser>
        <c:dLbls>
          <c:showLegendKey val="0"/>
          <c:showVal val="0"/>
          <c:showCatName val="0"/>
          <c:showSerName val="0"/>
          <c:showPercent val="0"/>
          <c:showBubbleSize val="0"/>
        </c:dLbls>
        <c:gapWidth val="20"/>
        <c:overlap val="100"/>
        <c:axId val="429364607"/>
        <c:axId val="429362527"/>
      </c:barChart>
      <c:catAx>
        <c:axId val="429364607"/>
        <c:scaling>
          <c:orientation val="maxMin"/>
        </c:scaling>
        <c:delete val="0"/>
        <c:axPos val="l"/>
        <c:numFmt formatCode="General" sourceLinked="1"/>
        <c:majorTickMark val="none"/>
        <c:minorTickMark val="none"/>
        <c:tickLblPos val="high"/>
        <c:spPr>
          <a:noFill/>
          <a:ln w="12700" cap="flat" cmpd="sng" algn="ctr">
            <a:solidFill>
              <a:schemeClr val="lt1">
                <a:lumMod val="95000"/>
                <a:alpha val="54000"/>
              </a:schemeClr>
            </a:solidFill>
            <a:round/>
          </a:ln>
          <a:effectLst>
            <a:softEdge rad="12700"/>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29362527"/>
        <c:crosses val="autoZero"/>
        <c:auto val="1"/>
        <c:lblAlgn val="ctr"/>
        <c:lblOffset val="100"/>
        <c:noMultiLvlLbl val="0"/>
      </c:catAx>
      <c:valAx>
        <c:axId val="429362527"/>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364607"/>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[ecommerce-blank.xlsx]Line Chart1!PivotTable7</c:name>
    <c:fmtId val="4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7.1813271921990718E-2"/>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2181340386238532"/>
              <c:y val="-0.152777595508894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777973342762673"/>
                  <c:h val="0.16645851560221639"/>
                </c:manualLayout>
              </c15:layout>
            </c:ext>
          </c:extLst>
        </c:dLbl>
      </c:pivotFmt>
      <c:pivotFmt>
        <c:idx val="3"/>
        <c:spPr>
          <a:solidFill>
            <a:srgbClr val="FFC000"/>
          </a:solidFill>
          <a:ln>
            <a:noFill/>
          </a:ln>
          <a:effectLst>
            <a:outerShdw blurRad="57150" dist="19050" dir="5400000" algn="ctr" rotWithShape="0">
              <a:srgbClr val="000000">
                <a:alpha val="63000"/>
              </a:srgbClr>
            </a:outerShdw>
          </a:effectLst>
        </c:spPr>
        <c:dLbl>
          <c:idx val="0"/>
          <c:layout>
            <c:manualLayout>
              <c:x val="-0.10053858069078715"/>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00B0F0"/>
          </a:solidFill>
          <a:ln>
            <a:noFill/>
          </a:ln>
          <a:effectLst>
            <a:outerShdw blurRad="57150" dist="19050" dir="5400000" algn="ctr" rotWithShape="0">
              <a:srgbClr val="000000">
                <a:alpha val="63000"/>
              </a:srgbClr>
            </a:outerShdw>
          </a:effectLst>
        </c:spPr>
        <c:dLbl>
          <c:idx val="0"/>
          <c:layout>
            <c:manualLayout>
              <c:x val="-8.617592630638897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7.1813271921990718E-2"/>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00B0F0"/>
          </a:solidFill>
          <a:ln>
            <a:noFill/>
          </a:ln>
          <a:effectLst>
            <a:outerShdw blurRad="57150" dist="19050" dir="5400000" algn="ctr" rotWithShape="0">
              <a:srgbClr val="000000">
                <a:alpha val="63000"/>
              </a:srgbClr>
            </a:outerShdw>
          </a:effectLst>
        </c:spPr>
        <c:dLbl>
          <c:idx val="0"/>
          <c:layout>
            <c:manualLayout>
              <c:x val="-8.617592630638897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FFC000"/>
          </a:solidFill>
          <a:ln>
            <a:noFill/>
          </a:ln>
          <a:effectLst>
            <a:outerShdw blurRad="57150" dist="19050" dir="5400000" algn="ctr" rotWithShape="0">
              <a:srgbClr val="000000">
                <a:alpha val="63000"/>
              </a:srgbClr>
            </a:outerShdw>
          </a:effectLst>
        </c:spPr>
        <c:dLbl>
          <c:idx val="0"/>
          <c:layout>
            <c:manualLayout>
              <c:x val="-0.10053858069078715"/>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2181340386238532"/>
              <c:y val="-0.152777595508894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777973342762673"/>
                  <c:h val="0.1664585156022163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9.4351154070923302E-2"/>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2946809077011618"/>
                  <c:h val="0.30929485682859381"/>
                </c:manualLayout>
              </c15:layout>
            </c:ext>
          </c:extLst>
        </c:dLbl>
      </c:pivotFmt>
      <c:pivotFmt>
        <c:idx val="12"/>
        <c:spPr>
          <a:solidFill>
            <a:srgbClr val="00B0F0"/>
          </a:solidFill>
          <a:ln>
            <a:noFill/>
          </a:ln>
          <a:effectLst>
            <a:outerShdw blurRad="57150" dist="19050" dir="5400000" algn="ctr" rotWithShape="0">
              <a:srgbClr val="000000">
                <a:alpha val="63000"/>
              </a:srgbClr>
            </a:outerShdw>
          </a:effectLst>
        </c:spPr>
        <c:dLbl>
          <c:idx val="0"/>
          <c:layout>
            <c:manualLayout>
              <c:x val="-8.617592630638897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FFC000"/>
          </a:solidFill>
          <a:ln>
            <a:noFill/>
          </a:ln>
          <a:effectLst>
            <a:outerShdw blurRad="57150" dist="19050" dir="5400000" algn="ctr" rotWithShape="0">
              <a:srgbClr val="000000">
                <a:alpha val="63000"/>
              </a:srgbClr>
            </a:outerShdw>
          </a:effectLst>
        </c:spPr>
        <c:dLbl>
          <c:idx val="0"/>
          <c:layout>
            <c:manualLayout>
              <c:x val="-0.17244522077744284"/>
              <c:y val="-0.169560705817651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4286268044725404"/>
                  <c:h val="0.22267253465322392"/>
                </c:manualLayout>
              </c15:layout>
            </c:ext>
          </c:extLst>
        </c:dLbl>
      </c:pivotFmt>
      <c:pivotFmt>
        <c:idx val="14"/>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34021630282395354"/>
              <c:y val="-0.148960781566973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041858139025778"/>
                  <c:h val="0.16645836127128871"/>
                </c:manualLayout>
              </c15:layout>
            </c:ext>
          </c:extLst>
        </c:dLbl>
      </c:pivotFmt>
    </c:pivotFmts>
    <c:plotArea>
      <c:layout>
        <c:manualLayout>
          <c:layoutTarget val="inner"/>
          <c:xMode val="edge"/>
          <c:yMode val="edge"/>
          <c:x val="0.26292371611072868"/>
          <c:y val="0.27023492264742099"/>
          <c:w val="0.51071307893130891"/>
          <c:h val="0.53583039730820337"/>
        </c:manualLayout>
      </c:layout>
      <c:doughnutChart>
        <c:varyColors val="1"/>
        <c:ser>
          <c:idx val="0"/>
          <c:order val="0"/>
          <c:tx>
            <c:strRef>
              <c:f>'Line Chart1'!$J$46</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90-4FAA-AE47-2F373F4D5A3F}"/>
              </c:ext>
            </c:extLst>
          </c:dPt>
          <c:dPt>
            <c:idx val="1"/>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90-4FAA-AE47-2F373F4D5A3F}"/>
              </c:ext>
            </c:extLst>
          </c:dPt>
          <c:dPt>
            <c:idx val="2"/>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90-4FAA-AE47-2F373F4D5A3F}"/>
              </c:ext>
            </c:extLst>
          </c:dPt>
          <c:dPt>
            <c:idx val="3"/>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90-4FAA-AE47-2F373F4D5A3F}"/>
              </c:ext>
            </c:extLst>
          </c:dPt>
          <c:dLbls>
            <c:dLbl>
              <c:idx val="0"/>
              <c:layout>
                <c:manualLayout>
                  <c:x val="9.4351154070923302E-2"/>
                  <c:y val="0.2361111111111111"/>
                </c:manualLayout>
              </c:layout>
              <c:showLegendKey val="0"/>
              <c:showVal val="1"/>
              <c:showCatName val="1"/>
              <c:showSerName val="0"/>
              <c:showPercent val="1"/>
              <c:showBubbleSize val="0"/>
              <c:extLst>
                <c:ext xmlns:c15="http://schemas.microsoft.com/office/drawing/2012/chart" uri="{CE6537A1-D6FC-4f65-9D91-7224C49458BB}">
                  <c15:layout>
                    <c:manualLayout>
                      <c:w val="0.22946809077011618"/>
                      <c:h val="0.30929485682859381"/>
                    </c:manualLayout>
                  </c15:layout>
                </c:ext>
                <c:ext xmlns:c16="http://schemas.microsoft.com/office/drawing/2014/chart" uri="{C3380CC4-5D6E-409C-BE32-E72D297353CC}">
                  <c16:uniqueId val="{00000001-5090-4FAA-AE47-2F373F4D5A3F}"/>
                </c:ext>
              </c:extLst>
            </c:dLbl>
            <c:dLbl>
              <c:idx val="1"/>
              <c:layout>
                <c:manualLayout>
                  <c:x val="-8.617592630638897E-2"/>
                  <c:y val="0.1990740740740740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90-4FAA-AE47-2F373F4D5A3F}"/>
                </c:ext>
              </c:extLst>
            </c:dLbl>
            <c:dLbl>
              <c:idx val="2"/>
              <c:layout>
                <c:manualLayout>
                  <c:x val="-0.17244522077744284"/>
                  <c:y val="-0.16956070581765167"/>
                </c:manualLayout>
              </c:layout>
              <c:showLegendKey val="0"/>
              <c:showVal val="1"/>
              <c:showCatName val="1"/>
              <c:showSerName val="0"/>
              <c:showPercent val="1"/>
              <c:showBubbleSize val="0"/>
              <c:extLst>
                <c:ext xmlns:c15="http://schemas.microsoft.com/office/drawing/2012/chart" uri="{CE6537A1-D6FC-4f65-9D91-7224C49458BB}">
                  <c15:layout>
                    <c:manualLayout>
                      <c:w val="0.34286268044725404"/>
                      <c:h val="0.22267253465322392"/>
                    </c:manualLayout>
                  </c15:layout>
                </c:ext>
                <c:ext xmlns:c16="http://schemas.microsoft.com/office/drawing/2014/chart" uri="{C3380CC4-5D6E-409C-BE32-E72D297353CC}">
                  <c16:uniqueId val="{00000005-5090-4FAA-AE47-2F373F4D5A3F}"/>
                </c:ext>
              </c:extLst>
            </c:dLbl>
            <c:dLbl>
              <c:idx val="3"/>
              <c:layout>
                <c:manualLayout>
                  <c:x val="0.34021630282395354"/>
                  <c:y val="-0.14896078156697329"/>
                </c:manualLayout>
              </c:layout>
              <c:showLegendKey val="0"/>
              <c:showVal val="1"/>
              <c:showCatName val="1"/>
              <c:showSerName val="0"/>
              <c:showPercent val="1"/>
              <c:showBubbleSize val="0"/>
              <c:extLst>
                <c:ext xmlns:c15="http://schemas.microsoft.com/office/drawing/2012/chart" uri="{CE6537A1-D6FC-4f65-9D91-7224C49458BB}">
                  <c15:layout>
                    <c:manualLayout>
                      <c:w val="0.29041858139025778"/>
                      <c:h val="0.16645836127128871"/>
                    </c:manualLayout>
                  </c15:layout>
                </c:ext>
                <c:ext xmlns:c16="http://schemas.microsoft.com/office/drawing/2014/chart" uri="{C3380CC4-5D6E-409C-BE32-E72D297353CC}">
                  <c16:uniqueId val="{00000007-5090-4FAA-AE47-2F373F4D5A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'Line Chart1'!$I$47:$I$51</c:f>
              <c:strCache>
                <c:ptCount val="4"/>
                <c:pt idx="0">
                  <c:v>Female</c:v>
                </c:pt>
                <c:pt idx="1">
                  <c:v>Male</c:v>
                </c:pt>
                <c:pt idx="2">
                  <c:v>Other</c:v>
                </c:pt>
                <c:pt idx="3">
                  <c:v>Unknown</c:v>
                </c:pt>
              </c:strCache>
            </c:strRef>
          </c:cat>
          <c:val>
            <c:numRef>
              <c:f>'Line Chart1'!$J$47:$J$51</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090-4FAA-AE47-2F373F4D5A3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[ecommerce-blank.xlsx]Line Chart1!PvtDuration</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How</a:t>
            </a:r>
            <a:r>
              <a:rPr lang="en-US" sz="1100" baseline="0"/>
              <a:t> Long we take to Ship?</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Chart1'!$B$136</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'Line Chart1'!$A$137:$A$152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'Line Chart1'!$B$137:$B$152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0C57-49C2-81DF-BF58075BD2D0}"/>
            </c:ext>
          </c:extLst>
        </c:ser>
        <c:dLbls>
          <c:showLegendKey val="0"/>
          <c:showVal val="0"/>
          <c:showCatName val="0"/>
          <c:showSerName val="0"/>
          <c:showPercent val="0"/>
          <c:showBubbleSize val="0"/>
        </c:dLbls>
        <c:gapWidth val="15"/>
        <c:overlap val="-24"/>
        <c:axId val="117227055"/>
        <c:axId val="117227471"/>
      </c:barChart>
      <c:catAx>
        <c:axId val="117227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27471"/>
        <c:crosses val="autoZero"/>
        <c:auto val="1"/>
        <c:lblAlgn val="ctr"/>
        <c:lblOffset val="100"/>
        <c:noMultiLvlLbl val="0"/>
      </c:catAx>
      <c:valAx>
        <c:axId val="117227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2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[ecommerce-blank.xlsx]Line Chart1!PvtCTA</c:name>
    <c:fmtId val="6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How Satisfied are our</a:t>
            </a:r>
            <a:r>
              <a:rPr lang="en-IN" sz="1100" baseline="0"/>
              <a:t> customers?</a:t>
            </a:r>
            <a:endParaRPr lang="en-IN"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w="9525">
              <a:solidFill>
                <a:schemeClr val="accent6">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w="9525">
              <a:solidFill>
                <a:schemeClr val="accent6">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Chart1'!$B$169:$B$170</c:f>
              <c:strCache>
                <c:ptCount val="1"/>
                <c:pt idx="0">
                  <c:v>1</c:v>
                </c:pt>
              </c:strCache>
            </c:strRef>
          </c:tx>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Chart1'!$A$171:$A$174</c:f>
              <c:strCache>
                <c:ptCount val="3"/>
                <c:pt idx="0">
                  <c:v>Jan</c:v>
                </c:pt>
                <c:pt idx="1">
                  <c:v>Feb</c:v>
                </c:pt>
                <c:pt idx="2">
                  <c:v>Mar</c:v>
                </c:pt>
              </c:strCache>
            </c:strRef>
          </c:cat>
          <c:val>
            <c:numRef>
              <c:f>'Line Chart1'!$B$171:$B$174</c:f>
              <c:numCache>
                <c:formatCode>General</c:formatCode>
                <c:ptCount val="3"/>
                <c:pt idx="0">
                  <c:v>7</c:v>
                </c:pt>
                <c:pt idx="1">
                  <c:v>8</c:v>
                </c:pt>
                <c:pt idx="2">
                  <c:v>6</c:v>
                </c:pt>
              </c:numCache>
            </c:numRef>
          </c:val>
          <c:extLst>
            <c:ext xmlns:c16="http://schemas.microsoft.com/office/drawing/2014/chart" uri="{C3380CC4-5D6E-409C-BE32-E72D297353CC}">
              <c16:uniqueId val="{00000000-687B-44A0-9A0C-AE2E04B8140B}"/>
            </c:ext>
          </c:extLst>
        </c:ser>
        <c:ser>
          <c:idx val="1"/>
          <c:order val="1"/>
          <c:tx>
            <c:strRef>
              <c:f>'Line Chart1'!$C$169:$C$170</c:f>
              <c:strCache>
                <c:ptCount val="1"/>
                <c:pt idx="0">
                  <c:v>2</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Chart1'!$A$171:$A$174</c:f>
              <c:strCache>
                <c:ptCount val="3"/>
                <c:pt idx="0">
                  <c:v>Jan</c:v>
                </c:pt>
                <c:pt idx="1">
                  <c:v>Feb</c:v>
                </c:pt>
                <c:pt idx="2">
                  <c:v>Mar</c:v>
                </c:pt>
              </c:strCache>
            </c:strRef>
          </c:cat>
          <c:val>
            <c:numRef>
              <c:f>'Line Chart1'!$C$171:$C$174</c:f>
              <c:numCache>
                <c:formatCode>General</c:formatCode>
                <c:ptCount val="3"/>
                <c:pt idx="0">
                  <c:v>37</c:v>
                </c:pt>
                <c:pt idx="1">
                  <c:v>51</c:v>
                </c:pt>
                <c:pt idx="2">
                  <c:v>39</c:v>
                </c:pt>
              </c:numCache>
            </c:numRef>
          </c:val>
          <c:extLst>
            <c:ext xmlns:c16="http://schemas.microsoft.com/office/drawing/2014/chart" uri="{C3380CC4-5D6E-409C-BE32-E72D297353CC}">
              <c16:uniqueId val="{00000001-687B-44A0-9A0C-AE2E04B8140B}"/>
            </c:ext>
          </c:extLst>
        </c:ser>
        <c:ser>
          <c:idx val="2"/>
          <c:order val="2"/>
          <c:tx>
            <c:strRef>
              <c:f>'Line Chart1'!$D$169:$D$170</c:f>
              <c:strCache>
                <c:ptCount val="1"/>
                <c:pt idx="0">
                  <c:v>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Chart1'!$A$171:$A$174</c:f>
              <c:strCache>
                <c:ptCount val="3"/>
                <c:pt idx="0">
                  <c:v>Jan</c:v>
                </c:pt>
                <c:pt idx="1">
                  <c:v>Feb</c:v>
                </c:pt>
                <c:pt idx="2">
                  <c:v>Mar</c:v>
                </c:pt>
              </c:strCache>
            </c:strRef>
          </c:cat>
          <c:val>
            <c:numRef>
              <c:f>'Line Chart1'!$D$171:$D$174</c:f>
              <c:numCache>
                <c:formatCode>General</c:formatCode>
                <c:ptCount val="3"/>
                <c:pt idx="0">
                  <c:v>150</c:v>
                </c:pt>
                <c:pt idx="1">
                  <c:v>182</c:v>
                </c:pt>
                <c:pt idx="2">
                  <c:v>163</c:v>
                </c:pt>
              </c:numCache>
            </c:numRef>
          </c:val>
          <c:extLst>
            <c:ext xmlns:c16="http://schemas.microsoft.com/office/drawing/2014/chart" uri="{C3380CC4-5D6E-409C-BE32-E72D297353CC}">
              <c16:uniqueId val="{00000002-687B-44A0-9A0C-AE2E04B8140B}"/>
            </c:ext>
          </c:extLst>
        </c:ser>
        <c:ser>
          <c:idx val="3"/>
          <c:order val="3"/>
          <c:tx>
            <c:strRef>
              <c:f>'Line Chart1'!$E$169:$E$170</c:f>
              <c:strCache>
                <c:ptCount val="1"/>
                <c:pt idx="0">
                  <c:v>4</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Chart1'!$A$171:$A$174</c:f>
              <c:strCache>
                <c:ptCount val="3"/>
                <c:pt idx="0">
                  <c:v>Jan</c:v>
                </c:pt>
                <c:pt idx="1">
                  <c:v>Feb</c:v>
                </c:pt>
                <c:pt idx="2">
                  <c:v>Mar</c:v>
                </c:pt>
              </c:strCache>
            </c:strRef>
          </c:cat>
          <c:val>
            <c:numRef>
              <c:f>'Line Chart1'!$E$171:$E$174</c:f>
              <c:numCache>
                <c:formatCode>General</c:formatCode>
                <c:ptCount val="3"/>
                <c:pt idx="0">
                  <c:v>312</c:v>
                </c:pt>
                <c:pt idx="1">
                  <c:v>373</c:v>
                </c:pt>
                <c:pt idx="2">
                  <c:v>351</c:v>
                </c:pt>
              </c:numCache>
            </c:numRef>
          </c:val>
          <c:extLst>
            <c:ext xmlns:c16="http://schemas.microsoft.com/office/drawing/2014/chart" uri="{C3380CC4-5D6E-409C-BE32-E72D297353CC}">
              <c16:uniqueId val="{00000003-687B-44A0-9A0C-AE2E04B8140B}"/>
            </c:ext>
          </c:extLst>
        </c:ser>
        <c:ser>
          <c:idx val="4"/>
          <c:order val="4"/>
          <c:tx>
            <c:strRef>
              <c:f>'Line Chart1'!$F$169:$F$170</c:f>
              <c:strCache>
                <c:ptCount val="1"/>
                <c:pt idx="0">
                  <c:v>5</c:v>
                </c:pt>
              </c:strCache>
            </c:strRef>
          </c:tx>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'Line Chart1'!$A$171:$A$174</c:f>
              <c:strCache>
                <c:ptCount val="3"/>
                <c:pt idx="0">
                  <c:v>Jan</c:v>
                </c:pt>
                <c:pt idx="1">
                  <c:v>Feb</c:v>
                </c:pt>
                <c:pt idx="2">
                  <c:v>Mar</c:v>
                </c:pt>
              </c:strCache>
            </c:strRef>
          </c:cat>
          <c:val>
            <c:numRef>
              <c:f>'Line Chart1'!$F$171:$F$174</c:f>
              <c:numCache>
                <c:formatCode>General</c:formatCode>
                <c:ptCount val="3"/>
                <c:pt idx="0">
                  <c:v>224</c:v>
                </c:pt>
                <c:pt idx="1">
                  <c:v>247</c:v>
                </c:pt>
                <c:pt idx="2">
                  <c:v>250</c:v>
                </c:pt>
              </c:numCache>
            </c:numRef>
          </c:val>
          <c:extLst>
            <c:ext xmlns:c16="http://schemas.microsoft.com/office/drawing/2014/chart" uri="{C3380CC4-5D6E-409C-BE32-E72D297353CC}">
              <c16:uniqueId val="{00000004-687B-44A0-9A0C-AE2E04B8140B}"/>
            </c:ext>
          </c:extLst>
        </c:ser>
        <c:dLbls>
          <c:showLegendKey val="0"/>
          <c:showVal val="0"/>
          <c:showCatName val="0"/>
          <c:showSerName val="0"/>
          <c:showPercent val="0"/>
          <c:showBubbleSize val="0"/>
        </c:dLbls>
        <c:gapWidth val="100"/>
        <c:overlap val="-24"/>
        <c:axId val="49813760"/>
        <c:axId val="49825824"/>
      </c:barChart>
      <c:catAx>
        <c:axId val="498137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25824"/>
        <c:crosses val="autoZero"/>
        <c:auto val="1"/>
        <c:lblAlgn val="ctr"/>
        <c:lblOffset val="100"/>
        <c:noMultiLvlLbl val="0"/>
      </c:catAx>
      <c:valAx>
        <c:axId val="49825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1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 lastClr="FFFFFF">
                  <a:lumMod val="95000"/>
                </a:sysClr>
              </a:solidFill>
              <a:latin typeface="Aptos Narrow" panose="02110004020202020204"/>
            </a:rPr>
            <a:t>Where do our customers live</a:t>
          </a:r>
        </a:p>
      </cx:txPr>
    </cx:title>
    <cx:plotArea>
      <cx:plotAreaRegion>
        <cx:series layoutId="regionMap" uniqueId="{99866E65-EC54-4A98-8DBB-6F8EFEFAE878}">
          <cx:tx>
            <cx:txData>
              <cx:f>_xlchart.v5.6</cx:f>
              <cx:v>Qty</cx:v>
            </cx:txData>
          </cx:tx>
          <cx:spPr>
            <a:solidFill>
              <a:schemeClr val="accent1"/>
            </a:solidFill>
            <a:ln>
              <a:solidFill>
                <a:schemeClr val="tx1">
                  <a:lumMod val="95000"/>
                  <a:lumOff val="5000"/>
                </a:schemeClr>
              </a:solidFill>
            </a:ln>
          </cx:spPr>
          <cx:dataId val="0"/>
          <cx:layoutPr>
            <cx:geography cultureLanguage="en-US" cultureRegion="IN" attribution="Powered by Bing">
              <cx:geoCache provider="{E9337A44-BEBE-4D9F-B70C-5C5E7DAFC167}">
                <cx:binary>3H1pc9u40u5fSeXzpYdYSJCnzpyqA1KL7Vh2YjvLfGEptkKCG0gCXH/9bdlOxqLlvHTVqO59pZmp
qYRqqIkHQO+Nf991/7pLN+vqXZelufrXXffn+0jr4l9//KHuok22VieZuKukkj/0yZ3M/pA/foi7
zR/31boVefgHNhH94y5aV3rTvf/Pv2G0cCM/yLu1FjL/WG+q/tNG1alWv3m299G79X0mcl8oXYk7
jf58761T8UNWuVi/332G/3z/Qap3/83DTbpR7zxZ57p//26Ta6H7m77Y/Pl+Zyz8/t0f4598wd67
FN5A1/dATOiJaWFMHGq5Dx/n/btU5uHTYwMh5wRTQihDzNx+0M8fX60zoH8jcw+sre/vq41S8KIP
/98/yM5bwQT9d9rE3G0naItLCBD9+f42F3pz/+5ar/VGvX8nlHyYwar35Pbtb68fpuuPXWT/8+/R
X8AEjv7mGfjj2f6fHu3i+z9g/98UZvl+fQDc2YljUgc7NnnEnY1wx/gEM0yZDSvqcbU9Av4GjvaD
PR5gAtBjkiMD2ZNprQ6BsXuCTRcTG1kPW9cEKHf2NmBsmg6xXWrtgjydo/0Yj+gnQDyiODKEl3X2
Xab3+p/fx9Q8YY6NKMX2GFx6gmxETNjjjzt8F+K3sLQf5BcjTID5Bc2RAf3ftBD55p+HmTgntkss
2Mn0FTHtnjD4WBajuzhP52g/yiP6CRiPKI4N4Wx9L6uDIAxKlm1iBwDcPaVhizOMXWK6+zSw/05m
6BWAd+mnALxLcWQAX6U1GAYHANg9cYnNLEzQKxqXeeJSx7Vgn+9u4ekc7Ud4RD8B4RHFkSF8sa5E
fgCA2YnLqMUs80mlHptSoG5ZBDk2c+HJc516MkP78d0lnwDvLsGRoctrrQ8hgd0TC2FCzdckMEYn
lkVthPDIRJ7M0H50d8knoLtLcGTogqNk3WyqgxzQzglybYwwe/R0vDSXzBPb2RpUFHTt5/v3TUzt
R/nlEBOQfkl0ZGhfr3MNhnFVDwc4ru3tcY2oiez9KvXWOsaOY5ruCO63cbUf7z1jTAB8D9WRIX4h
c3kArMGJCaaRYz+Zwu7Y24XAVQJYu8x0d7f2VH72o7xDPQHfne8fGbKeBMfs1sultlv6H/djOycm
AnQJYa/uZkSoYzE0Ur7eytd+pPeOMgHxvXRHhjycWu/O5LqsD6V1g85NMcWPTk4yNp/RCXYxBb/J
oxd0pJ29kbn96O8bZAL4+8iOEHtfbMJDHOr4hCGA3sVjQwsxcH0SBznkKai1e6Zvp30yT68DvjvE
RLh3iY4QbL6p8nV1Lw4ixsGlDfEKwJXs3+sAPHap6bKRFN8i/jbGXod9zzgTsd9DeWQLwN+k71YS
wuX/vICn6AROeXCEbqX89jNW4TCFaBclELAcRSzfxNR+3F8OMQHyl0RHhva1TNcH2eZbbR1Rh7Gn
bQ4ie9cjDpYZdR3LHBvi0znaj/OIfgLII4ojQ3iWvvNlBQGPf34/Q0SLYdcGd/jjdnbhyN4FGcIe
rgvLwLL3hT3exNp+tF8OMQHwl0RHhvlNDekI2UGCmOAgd0A+gy7+KL5f7GvzhDgYUo4wKPHPHWxv
4Wk/1i9GmAD1C5ojQ3q1adYHyS0CZ4qNmUPMp7yTPSaZiSDphI49a9M52o/yiH4CxiOKI0P4wzo5
gCpGXBC/BPIBIST98NmTV+QiC9kOG3lOp/KzH90d6gnY7nz/yJCdQwblQXQv+4QRZFsWeopSj8Uy
eEqZY8E/aBSlns7RfnRH9BPwHVEcGcJbm/VDLdS7y+9CFYfQwKwT7GAbDmKIcWw/e8SxDboXRDT3
mNNvZG0/5q+94wTwXyM9slWwDdUX8iDZoeyEOhQzy3lynI7hh53u2pQ5GA76h8+uTvYWzvaj/2KE
CbC/oDkyvBfpJj9EbgpkL2DTQu7LNFEMUW8HMWKN3CaTOdkP7i75BGR3CY4M1k8CkhaUuD+ENkbA
qjItQh7N5JfHODhFCaQ0YDT2ir6Jqf0ovxxiAtIviY4M7dOs2FRinR7AawIxD4h3WKB+P8rssWmF
rBMLtDcLQSrpk0x/bki/hbP9iL8YYQLgL2iODG8I2+tNtekPgLd9YjN76wh9ykka4w1ZZ7ZlU5uM
63TewtN+pF+MMAHpFzRHhvRp3h9CE7ehGAuDgGZP2f0vjK5tappr244zSl6Yys9+hHeoJ6C78/0j
Q/Zb/f0QaSnuCaIIjmPILHr4vHCVQNYouEkc2MG76vVUfvYju0M9Admd7x8ZstfR+iApR1B6BdU2
kGdAXsMWgzsbAtZgZO9iO52j/eiO6CfgO6I4MoTPIefgALLXAr35IeH7SbPeYyBvc84QwRCLfq5l
TeVnP7o71BOw3fn+sSELZfiHqMWxTwA0KG/+WfX+QuC6JzY8g1z+MbRTGXoF2x3yKeDuEBwZuh/W
Sm0OsHPhZAahC7VUT54t84XWDJn88JhCLc7uzp3O0X58R/QTAB5RHBnCN1BpBY0q/vnDeVv3DFsY
0v+esvdfpANhqKYDjxdUv+9C/AaW9mM8HmACyGOSI0MZfPHbnO50/ZDfXf/DHUrAfQWVsRBrfEr8
Gmd7ggkMdhGCcPIoIvVGtvajvW+QCYjvIzs+1N9dQF+VQxjED7EJBqA/JfDu2d1Qr4GoS0e7G+Z9
OlOvIj4aYhreI6IjQ/tifQ9ld//8QU6gDMvGEH2AutmHz1jLxuaJaUPlBkWjKOR0jvbjPKKfAPKI
4tgQ3uT38u4widtbN8g2Z5c9ua1fgEwgeZfZhGzTep+bUhdvYeoVnF8MMQXqF0RHhvajgOLr6vth
pDY9gYKcba3763kktusQCgravujym9nbj/3+YSbgv5/wyNbAxaa6g+5o3j9ejAcqm2m79q96yxcq
GxhoDvhEEaM/z/zdTT+Vr/2oj95rAtwjiiPDGRbzu3m1zu+EupM/z9d/onkgg1ww02Sgfj/u4bEb
BUqo4RRAlkNGsnuHoykLcD/Q+4eZgPd+wiOD/UKCPJ8yuW9rGQmVOJDADX1qfhbOg3d7nLkP9ZiQ
3YtGMY3JDO1He5d8Asq7BEeG7jVUymeHUMidE0pc22WQ9/XweeE8e6i7tCmo5D/PksfWkNM52o/v
iH4CwCOKY0NYqET0sj7IFoYsX8j8+9n9c8/BbUO7OQssrxHGb+DpFZTHI0zBeUxzZEhfgnAOD5Mb
Bgo4dRz7tbaB0AbWgsZy9riv73SO9qM8op+A8YjiyBBerYvDnNUYDmoKcapXz2po/wl+cGeU3TmV
n/3o7lBPwHbn+0eG7FW6vtscpiEk9KPZ7t6narkXchidQMIQJALiX8r3cyNqOl/7MR7RT0B5RHFk
OF+v7ypoxp3rQ/i7HUglgQavUInxiOULf/dW597+A/kI288Lr/dbeNuP9573m4D5Hqqjw33bOwKi
mIfAHRL/LKh1B//3rz28a0oB7iY2ocHzOIXooaPFVK5eQ/zFm01C/AXVsSEuNtVBQh1QhGGbUOHs
PG7ifWkJ8BC8ptDaYN8un8zXK3jv0k/BepfiyHD+DId5fRCgoRUJwEjM15qRbdvNuSC5bXOUz/sG
lvZjPB5gAshjkiNDGe7+yIVK1/Uh8sgY5BGZUDtlv1YJDTqaub0/hY2AfhtX+7HeM8YEuPdQHRvi
2w7Ah9DIIYpJMIYOsU8xrRdhDSjG2HauedHX4HoyR68gvUs/BeVdiiND+GYTrQ/h+4SsMiicsuFG
pFeilhDQgPa/oI2hx9TCkR4+na/9OI/oJ+A8ojg2nGvIKTuEXwzyf4m5xfCVTjQPAnqbVWaN/J83
kzl6BeFd+ikI71L8L0D49yzuvPL2+qv//vQw74lIvvU2M+j/Bz3YbUg6eFCgX7Q0AFxtBJENKMp5
NLh+/vZjBAMaav+6hu3Rl7KPp/3IPqfdecfHV/z9pPyvu5jsm0wPYQ/DNTcMiuDAYTmOKUL7PwaX
0MGVRruQTWVkP2g71HtQ2/kruItv5/v/LyB9/R66X7f8+Wu9nj3cD/jsKrrfP32YHLjbcET6lIm1
Zw/88iaf3v/5HnzPBC69gL/7dfXgdqCdPK6//UQ/4dul3ECN1p/vDVCtoOk6NA4yYZNaxDXB7dFu
fj1ybAwXbDw9gd/LoddkBJcYQi85Aoo49A2D/2Fo9P3+nZL10yOo0aHb/gaQhOBQ4vy6yPFKpn0o
818z8/Tnd3mdXUmRa/XneygQef+uePzell/LtBiDvoTAHTQfpBhb8EvF3frTtkoDJuL/kLjJ1SC7
9rJLHdOjtSjmpIniWRE3XsY6PVdGogjvLNp8a+PsvFCduwAzkHFaCuEFfaj8IHfQpzC0Z4ZjZTzr
c+bZpjDOTT2srQAPK7fWm9Yu1YzFSciLNLgmtWFf5E0a8b4h5bzomnIFl3/N4jD6rKN21pq5mAvX
Ocs0PqMV+pF0/ec2ys4YTS7LtPIZwktXRDF34yziIiOFH6co5ENPUr8zqfJCt444texNzOhtaxt/
JY2xaZuo9FnQZ17X9h2HiPR9mfUhT0xjpc2m9lGV97xN2pw3rv29j2jiu3CNlZeyRvOm1sKve/k5
yuRHbIczW1YJZz2tvbLWzSysFnV4EYpTuyCfSmVfkDTYDGnG+/zKRkXrkypZ5a49H7r4S1YSHuDg
Lsqtm8YKIm7GP/qQFr5I8Uen6nvu1IM5a0J1Kw2NeV/rwqvTKJ13Ou146ZLSr+z+Ogu15WvW0qVy
zNgjaVTNzLxmfJB08DKBBk8FsTsztK18qsNlElHFM4Ms6tqIP1koxX6HU8njnsYcCavxLWmQi6pM
BGeybbzEQcXZYFSfpOpSTg1pLupOnVomEn5FtJjTOraWdeD2yec8NFh4gdWQfYmVZbg8zcoCpq8Z
vI7YLW860c5yy/mh3GjZRc1lpKvEI5nS7EIHWrl/VdYg7rNUMsN3UeouBUXB3FI2umSm6Dw1uLUX
4j6fF7SVF9mAxa3TOp8rLbol5Ob9lYgu86ymEJctjbFvFHU1x71z4+btKcmsRVEF9SIdULqsELo1
6gD5tdmSWRcM+aJp8/BTRrOSM4XzS5W7fmnCXBLVXHRRL29gBTCvoEx6cZl2V1BerWZO3RY3Ydl8
V+D5PGcJbjw7jjYFijpvoL05Ey5aGY4MNDfrDqbeQh5zdb2s6qBa4spOr0u7TC8byfKbBPfaL5CI
vIYWN9LRvta2wYd60DwU1rKz84TXgRF7Makl17K/bLUbeAapOi9LpDuzBG7PtY2ceS8C+0z35roL
Cq+M2s9OTwuP5GbPZVjEfkjdnuOOGqeG4bZ/JXHb8nwoA184Ol90hUzuEmKpZVq3JR9K5yxpo27Z
DNqZVdodqF8NRcBty60+tgQFH6KQOBdO068U5FFyNzV6j0kBOzNrqnlnOp2vca4uDGeQXKHE5InV
DbPnV5runHF3sugrEUZP99X++uN/bmQG/z7ccfr3X26vu/37T4uN3KpIavylrTz69a2/70ndnv+/
Lk0dSZXHO3NfETm/ffi6PHouVCzwpf9OFD1X1B6VvIej/YHqpxhC0Gl6eyeuCd2ELeh2BgP+EkOQ
2bptbLiVN6BobgsQnsQQhba0aHvJhLnVLqFR8TMxtL36CQaEdDkH6oWhaPQtYgjBb+xKIRcMUOiv
Z0NjCAKt70Fbei6F9EBkUdZ1t8pb4s6aNogKLknMEi9hbfPRNqz+LO6aPJmZZqK/aUmb24SqruTK
zcsvz2Zvj1DclkSOuYGe21BPCdmccKXsVkN7zg3N+yJxo7pZ4TJHqzAZ8oDXTNqR1zVaurxpaf2N
NYUheJU5uvTKuAK5FgyKUQ9ioPm9q7V5CWNEtY/TFN0OluGgRW9bwQb1Burmv+cYv5Di0NgK+mpA
gaBrMVAbzBHHgkWAba9XpLPC0Le7Ib1toOMwmWvWS4s3fYdiX7DA4QOze8H7xCQL2JU98qtG6vuo
Uwp5wigsX8Fl0Q3XWWQ2nFVWEs5CGUdXSe2eZXBoKx/SrNzPKirPk7S1uplQIMpFFTXZ4vdv9RIG
iAab0B4GWmBD+/uHl36mmrDeCFujSNUq14H7WYYOwpwmGJZGkdfdVdtV7nURoPTr7392u9aea0SQ
xAt3ajAC9yLBxWeYbNl69rOW2YEQVmG+yp0BrVAS1atcVZ5wgujz739pq1uNf8mFaBiDuk1IHnZG
66zIaT+UVSRXTmHSddnKKl0E2ukxT4poZpZ1OnjE7B2QNcRqs/9p0WwXxe7Pw0KBLh0U7n8C3Wr8
89CkRURhnokVKxNrncW1tU7SLQ/WkKmZXUnJexOgX7Rp2WJeJpJtdOqq09bt6YfOJpXpkTaWiRez
PLslVYGJHzl9vymMpvBNY8iYZ7mSVkuL2EPNfz972/6MY/7Z9tgAoQ73OoOVtQuUaddWblmBcYHq
IFuLSquQIyPROeWk7/PwrI1E8j103OJDN5TR3Ja0Ex5GDfuh2TBIr49C5lEZNxtREXbfWEXEzn7P
JH1QoHdmmVACi2hbFAAlIxYD/8vz5WRXjjCrSJOLmJZF4Dq+dqNh0emOuHPd1LVXdaX5scl6q+ZR
FDGvQvlC4apYpLTAXpKW2acitbKOs7QNv4AOLk97pTUvrLK4tVXi+EGZB14t41hwoUnc8iBW+aot
DHVZGgOZhSFyY24MQZ55uImypWXr9BOOw6uwz0nH05qVKx2UNxqDWujbDYaJFD2Gs4HWw8DN1ok/
pJHlfAvMmp5FtoM+DGHXuF5rRjTzYDrEqQEqa8bb3hl81FqGP8TdXaFKfV2bBot4m2k2D1RZn9IA
45syQm2yCJiBBB+iJPgO5ZJVw0VeGn/VGcv8olD4NJF5cYpKN70XTWHDvidZci3coGO8KWl4VgVV
7fUwDwtEsXtZtlk3o21VzhHqUDNL4fKc0Gva0Cm9BkfBLFOk8uvCvYwCIzR9hKRegqjBrZebsc0d
zdKvXWZG57hyi2uLaGtRu7GB58rOhrUD2v5MmV08zJvECedG15lrrNL2hwqLwvIGrM2a5yFuQlDR
Ywmbo21nfdjUzrySQeSnmmTLHL7K4TivJEx01jAeqzg2PBa0DLRt0Ic41WngEW3k2aKyk1lI697c
6lfUF6oyUx7DStJzoltXLTrCug92Mgxp8BGUNJ2BrSHSPq/uoyDCePimWqNjYCG5FRzl8g73WaxJ
BVfu1XVhrnSis6Q7c0U5LBqw0oLTrBKi4DHYA9cmM8hp3BNSezVgEPC+NN0O4Mocx8+DAOShTpO2
nNlJG5pelWoUXEalaTO5THrWRn7fpa7+YCtNYEW1gUSq9WqQhXPbiOLgsoGtY4de6RQOLDiSqGye
p6ICm6EE4RXMukbYnhGAc8zifWDmFO5iCrLMi9y6DeZtytJspgLQCuZWHmaD5wwWnJg5TsAey6LK
SHmjwD69UsLIspkMhfPDqBsmTN+UWC8EdWpnZRlBGJzlhGlmxV7eqXLolwrySKtoVoQRy2aBaoZy
7lYKTNI+tbN+aSqVFZ6F+1R4rLP6dFGJUhgewIq/GEU2IB8M+yTz4T/TuExj01Aw5Xn+Jc4yNzsl
lavTWRJp+9NQa0LmsSExOo/aSLGcswhHehFUTZFfgzAmZ3E44GReF8DBTOo0HGYO6gbXc+K+aC8y
p4elbcBWqfwAofqsIpaV+mFAwtpneQNwCqZAP8mHmAybNIFkad8BBjKf9FlUniJT0GUoWGJ7OElK
4gspAn+og8TiRlsV7lUctDH1iCjjgWdFPIBpH6R0joogtIBdlxUz1EeDPI0EasNZ4tKo5dvvceQK
N4flE5ISLG5hDFx3wvgLjGzZG1zAPsIrNORiENxpqEFu+rTF9cou3F76uVvqC6vOQSSFiiVA4GYE
ZisQEcq/gQWXR2dln6XdXLVgNJ4jHeobsPmstdUFWcAdBIt3XucdIzNlDwKYr1Gc+SkpE+U5bTAT
SJTf0rYFzSIO4+ZaWXb7vagismxYGwYzJ7FMzHMngHGsVMbdPK8atBq6gtCPSlvoBmkDvgHuBeV4
GvWsmzU4i8Wy6jBuT3MWKnwpDOZ+zs1yuzjjuFQLlqpIXXU91Y5nli1gE7U5MCYVHLrnIMHcz8Qx
YXVncEpWPlQedfIUbOMAX8VVnSSfsJO79LSjcVtf6E5vlc+o766sxLC7mWwz+Gkph6HhHc70sDAT
tn35Letg3275KjK0olYOb1GXFkxVlMhk8Nykga1TpGEiPuYVgy1f1aAVhPAMzlSs8+iyRLSvck6K
yAS426qrLzIjKhQXZl12YOQxk8z6psTbQwM2kwdvBAdI56Ktnqzz7HMANyicOY0QDnciK4F10Yf2
us0JsNFVcf+J6M5U5yGoufG5LPIkvnZAWixUbqJV6YblN8gwskse0UjgM+mAn+c8iGTY+H3FyhYU
3J4sCgzT6pms7O+SNLGuulqZclmafZN8ae0sVMssMLIf/eBuzxBRppEPdoBDZgL3kZoXduZ+Mcwg
m2dtEYIzgMIx11dt9ElIrc7dLIkt38IVDuHYg1teeBNh93MVG004S3EO22QwAuKe0lyicpPBgdyf
Qc9S2Bvt9sSexZYBM9o1QzMDIdOW56iqse0FbqobkLSkMUH1LuO/Krdxb4we1PSzwdUVutcq78F5
gxBrTkWLYaguQ9Hg0Ta0w9MCYGk9I9l6mGTT6IuuZ+l13KiSO0wtadY11nJobQAnMZEaFkWaSHmR
2x39YGiTyllU5llzHvZtEXmOpbLoBjQRdW+6ORwjcHSqhieRahV328YpQQr05XUalkh8RXIgTsMH
0MD620ITw4XBVFDNImYk4ZkRFO33KDSNBlxpyk5OhWuij50ygmFR1aUSMzHUsEgF1jG56pJ0sFaZ
XaQpL4vGtC8oimjn9aDdqFkbFYBa6+Qi5NXAMjg7lEpnqCNd5TcpdqrF4JSw+hPahczvg95UXlAo
u/zSWj26iaMK1hpIOvczrPVMXeVujuCAxYUbz50sAjdVV3/D4NZxEE+Sht1aOC9bv7VCTS9okDrN
pzJQbgXCHVb0rBAE0ATDoe8+CKIT+YFVRUSucGem9mnQSRfeq+uM8CKpDPACZiqAMwO0sVpfpGkA
/FduEs5V5CSR33amedqXFPZ9b9tMcBpE7OJBK33ypV89qp+PfuDnvoznro0pPpILcVdJJX/osZNk
Z6D/zz0pezz7Fhhar3v2n3qbPPfAPAYEtmQ//SnbQkAKRQYUPARw68vWM/LLn0IgaYJYxEIWJE/8
7UxBJ3Bb+rZinIJXf+u6/9unD42pwQcPnhTQZB7qD9/iTGHboOCOYQSNQ6AFMliWoBlBCMHaegue
WbCgOHZ2WarsKkcFpRcK1wFY/LUwMwssoxa7vOuaxuEpK+7KJvtrkEO06Iz8mhrghibse9+0oPzU
4bKCE7AsRM61AypFTdnK1Kj0jLhOuSw6ygPpgrs47KM5LmwwYIpwZRhB4jVNpL04kJeq1/eGnRTc
ctt7WhhwxEjl1S4YadIR5x0dUk7c+MIoyqvKlJYvIzKsQDNqfB3AM9ZX94bUEiRR9b0Rej5kSb+A
e26/Gx2aR61GnHXhkjG9yoekhO0aBdwq22+tY9ymuk+9OEHXxNJfQ8hcXbiO4SwQKGeXIVQqzcDv
pXltJRXoL+GasUEulNU03AGPphD4UtIy5dGAr8FPBhKnFh87bJ5lprWhOluQql0rKs4p7hOvMgyv
c/A5qHbwbXeZmdXXmohT2dW2nyfhV6nsr278nbTSh9so7pTr3lVYXVaD+GLJ7i6hTuaDS2Lw4QKh
K4ikYF5Z7TKLhMFjMAZAotThvE/EtRJkVRfGaiBl4MWmgNAATgm8tJOdxgjOegtpMLhMemVYbXoO
h3DILQMsy7BD53Fkh4vYqO15GaYXUVmbM0d1YEcaZ7gtK+4yfebIJuamm10WPXW9Pimd06rI8aLX
7cJpYulXoo68ok+dRcKiyo/NrJnZTdDNrBqbHKXwlPV4WYXt58Bh81TUV7ZZX5oyB+lkuOWiorkH
CpLDwyQ5xVaY8E63Iaft0HPbrE7BRV55FTaCBWy0wGtlcw6KxSoCKOCb1fcYghF2Y12B3XEaxqzz
bBwvaCxvM02XLupyngz2rY5LbmbhZyX1xjax4SUDltyqbQrmoxvNIb7yNY/Lwg9xcRaw4otR18pP
VXtruBBrAdJ0NqRGOSNNct0buJ8RDFYomI0/MmVknpDFBe3dy4RCBEn3HeaObD/UXdPOOqeTl6zN
QtgrlePHUmAvSNxlC3YXT8BVv9YBOOBNVQQQFFIGJ0n8pU58lopbolEKK1CwGew1n9Km9sAy1Ytc
6ZxboJAvO4TBQpTm+Vb/p7kx+KByEn8wjI99E0ezPi8Hn+FsJXKc897obE8QUnldOGzF0ToBl8N2
rV1Tcmb0PxKzzLgRQnyHqRnpu9gHP8TMofIz2HI/TGTGvGD0RzWY31zlfjDbdFX0/TUoTIxbyohm
dh91vM/KT1Gt1ikdMi76U0cOZ7R2U3BodCaHtReDmKZe5fQ/sKr+Co36vJX6Y1oYF7qJkzlEMP0h
6S6I23QeMpuEWzm4neIa4gS1GzVepfWPAiw5nnYt9tOOrUVZ/cXgiOZKGgnHEvzBXetAyKPuYw7R
J8dLY/oVTt2S232leJPadxqiqxzZWPhwIJ8ro+rAuKjreTQ0ZzogjYer8JMddetYWBCrpAmd6xK0
iyLUyFO0XNqZ7ZeRGDwdddfaKkG5jfNZ2kWtDxEzPMtzq4JNJ2FLOPZFWol4JrtgJVOSQ3w16Dxm
hNdBQC9l4V67AV2Srnc8OwfTuu7TT0FRrMBhU85D7aRfq1ZBkLVtPhgQwoXo33ZjW/EX6Dyiud20
YPm6LYVwWPS9y6XNayrmEMI6gwP9U09lAxpv1vkgAD4WtMFcWJbfWI6ziEwBjhFFKLdseRM4+VkU
2NRLyvSDipqPwqI5x3HGA0EUeCUqNMvDFGib5tqyY2c55PV3JeOauxBN4zjHEUS8SsMLB+MHtDgC
eRFVYuG4xkcw9L7bBPZ2mTLHo5ljeGkXgjEK0baVWbqUV7L8ipws8MDzmUL0uLM5wa3kkWMiX8KZ
bRW5OY+Fqeeplt9rV3yRBSykNsjnvQ4rjgByDuKu8lpCEjAwzXAO4QyYU/AfnBLSLt2Qgl8EYrmw
aawUZqm5jfrkYwsy0dOxI2FiVMyhN1voQcwKlpvDEr8Gxwx30kZ8KIyh9RMaX/QGkRwcNa0XmhAq
MxL71tL9AqzZe0taV3FYbDoEwykaf7VtLXhbGbD06vwDODHLFbOGC5D/4Mlj+RKuKTnVaVF5tMf1
LHFM+bVM4/RUDeUtwbDx05x8MXp6qYW+b8t07gbxLQh781zYKucg/0+VCC+ZKG/cIVkSQ7Vgijdb
b56seU/bZWARzrbmgmxoC6xAYBdiHneik4afVRIcL7IY5r10PqEgK2eWFVHwEXT5rChAJW3SOjg1
q35tG7AYdNTgeZI4N13OEu4ExpkIw3UVMz9MjIh3cbGQpQR6VlzJpEFcumY4M5B1V8QdnUPUFKw2
Ac6u0r4ya/uzpPYiKNJuOYTkR2y2DM5YVHOMwevidDk4a1lac4hYJ9yUPSy/GOmtT9Ll5YC+2apZ
uTQRs6EAYCsDTu2oJ6Efs771bCNemzm+SEQLDioRxF7ZFOeiSWGqdbXoBzBxawK+ntpMlv+XvS/d
rdvm2r2VcwMqSGqifr4a9mxvT/GQP4KdxJSokZREDVd/HiVN67hpgwLfOcAHvGiRDsa2tvamFtcz
LUrRT6D2bex3PStCxdI6aqQuE8x6+ZwJCzo7F3pjqE2ipjImbsgcAQ6vVdV7qLigoRCpG1XKusv0
+EEHQRPWeRA1Y3kaOuqGYuB9JLpGxczJbnvPV0la9vtBDF1UkeCDUw9XohyDyO76MalaC14CD8+T
bfrNJKwyZkW9t9A54YGUJBpZ99KK6mpi2M/xaWELkTvlkTFaVP5lbE1ktd6rR6w7ywYV61c+9Pug
ePWB5aBFsU9m1kcoRWM4++6nzvhbxQcd14Ie0tqu42AxTjR5xYOoqi5Sk2YRH7xIWtVGpC+EixMa
AyfkcAGEdJCH1tU0agcpL1ne7FOl8TNePAnLbcNqlHdU8zpsB+vGrwIvZCCvnWB8mNBzhV62tGHf
NnWieluAxx1EWBUKtwNrSchH7SRN4xy5aq44n5uw8FUZ4bl7xVltFUhpgF9R2Bu4Nh5bg0c30/S6
FLWOsBYubC/v4TOQoDqL9tbL8R2BDbbRXk6o07q+mBxdb7TnHCjvP8lq7iKa9w9qylCDBvJhKfPD
NJd3zLGqeOxQUn3yYsyCxQ+qIgxguIhx7uCp7fSmJhMPCUh5lEMCSd6TXwL0xpnxsrCd6i9LpQHf
axkKvewZqx9zKeHYkB9a0xZRhy4P5Bb6TIWVmQWjv23KHG9y8Ldk0q9ehpbOb6Ynu0LPZyRkulI+
Dn69T9M0zor6OeXFi+yHs+OoQ5X3NBbVtAEvip3SVrtZ+TdTRpPJrUATqeZ26oJd6wT7ACy9IvIK
6ms053QOZztLsrRMcm1OGowTzEBR6RLDDp2kc6SEz4rrsl68x7nJPX6pLNfgf7h9C+6Fe9HgttY3
/eR/Gqn+78Ogq+j89xj01HT/5z9I0Jdfur/i0PWl33EozkLBXF/0OKvGZBMHP/qOQynHwFCcNurA
SmZjtuAbe5nzG2AhXGnAiOARv7oBvtvL1vM4OIVj3EUQm+PMu38DRX+i0BE4zBAbWg/58FcT5Fsg
KkE64WkJ5OVQJYvrg6TcOr9S63HE1zu4C7UWfj3mYgCEw3BE+jvBVqV5WbqLKy/7RuZl3HBSr3oH
mqrUZkUibai3DWjIky84uOg2k1G5pEcQRfKGtNl1mfMtc7P8NBIyxIRabkQ5AG5JcxIRke1HVu0H
k13kBg/OQE9kGa/B1F6opTlO2j7nWhyILOawMuhsJLqajT/D2pYO7gxCK/hM0RyG0ALww77ADl0O
r7k76bCrPa8I4UcKgjDF6ycfhilI9XDtjFBPt+k4+XFvdXMoA4ZddlgaINy+htjCnHsQjD6oZNf+
CNmuCy3I2ducFJmXZINqy6SZVfHQNHTGw1mQeSeCNpV7atc9+EqbX3pzN09bfyhkOHk8y8Lebm1+
vzDlxaViEDWsxXO3tBkhn0Ytzk/0FZ7xqp/TkEyudeaKWRf4/W3c5SjP1jQcG6ve8sbJYw/WpjDI
WBlrn+c7u3SKwzApj1/hep390Z2F3x3Z3JgmFrMN6KHd6Sqjsg2VmINjoD3/YMQgngjCpA/GzwSa
sXm5dfp6cAAuCiBEeF3GZcczk3rYGLrgQ9NwO/Rqp02sgTgxa6csKodiRO0S894wF33DMABY4TM/
oQXtnrtMHKfZCHzsnIWBgpDJKppg7l8eitKMN4sZDpLMZRI0NLgRs0vDXmZ5zGcgyKatSDQVTmwa
Gvsqf+CVi159qUzsqXyBS6pmaL89Ek7llB8ggmeJ38/Ltu9LGtXo/i/RbzMDaa3berbZjU7tx9nE
umv4s2jCreoir8sLA+lnA8Ly2mncPc8GGadeuYPps4iFTa66YLztQQl/EGbirw06zE4WsTdO3muT
D7FbdXGRKnpHrGEjvH5jsaZIAmzpBe9COUF967z2c9f1iA3jWBg53ytpwdpnDsFUbVBAQIAvW2ci
FzM3sR30O+qy04LuQ2jzQtzhQlXWphxpYmsFpmb+VA9LKJpP0ItpPHqlvZ2ghMSFa55cL38pF89J
0Nt1hx7qLESm5cQqtrcFu/DaIR6H4gmOCDhR4OWsuZ+kxtsIxncDWZ6mtEtElcKPQFRopwJ4HMrA
XrowuECEimF4vcI93rjDUMdTvog412kXOYbkF5njFVGWsuu+hA0NculRsAmLuafbUgGkFqmPVVbN
xwAPEWn8kAU6njg/8dY+OVPzYC19VLj+7cDEda3ak4//Niw4VYO5zoL8ULI2YanMIblPIVghGsps
hGsTXopIaHJZWMXHpqAf26I6YETMsSn5QQ70ehlpDN0AHUV54TroWEs1Hxff38FjlEEmmT+pwt8N
gRsHus3DbALcXkYQNcu8V0tdH3refK7m1A+trC7jWZR17E52sVVBu007at0ss6V+YSCh9k/q++og
QboXWMzGP3+s79lMq272yvyyUQVLTBnMiW/mIq4qU576yh5j36Qb0WQVTlRavtBWdddKFeSOLxwE
4jTdDFqeyJTGReA/kKnfqsx7heIjoP9rnQiZEiB3smkWrOkyzaMmdbtolBwquTIs9nm/M03zov1l
iHLZ3TM/U4mhvQ0GoWjCso5GFXXTnraFH/ZpvaVSb5ljrkoGqq/yP89ldTv48gC187h05UEN7OS3
zYl3LNj2I1TIbs53bMrcqDN55KVWs8kcuRUu8eOOdDfOPKABzrwDyQI817Ygp7QHWJF6+iBz40Dr
HxTWAjs7+VKjt/fmaMqLC9OC5uzkvhjdrTvCV5yXap/WRQD0qfMQ0GJj9TJxRXuCRgErVg0hsRyP
OOt6h31Nh3iXC/a1bgO8ci5keYOZ0yI0MFXHXm3lkd2SMNX6ChDexBX6z1Br+cGZHQUyJn8OiA9Q
hMU0YYFyvQDdqc+FIlvagiZ26BN64riyvcgLnN2IOmR3GM8W+CeiYAwTgfU5pd4SQmgDwO2msCgr
urfatZb1p9z3HhkpNwSCW8it4mmuGI1kNxeJk4mzvbg0rjMGcaMFmwDBdLhvANSPORidixIC5v5N
9/S73vHW5/7eH4cWYT35kfsYHgPX4jqU9YdGZNFwixlYndIhj2150OxXbqTVbPSnzQe/0vYxm93m
MINjPBFfJ8W9vQL8TTA1B0Jclh6sNt45H/Jd3t7oUWIllFHuwUEgk3++K+S7fnHVd0z/0BZ969iW
dUHm+tZlzA5hfLrFrvgoHPQeGUAHaBX3wUvtvRlq8PIwpuCpGJuIAK9FtV4eG8s/5b1DIiDETRmM
9IVnjh9XRH7weDUC4M9Hv3SevBROEVra3oDVVDfJsPh1wltLxbQ1PALTMO8HSO0vTS37DUhAiKl5
/qnEWk1gCsliVOA57rlHIjMEt4NTLlvUww+DMGxfCfsqg1Qg/WCHTemu03rjrTojc+XOJpmVSIIO
pRzrGgh+IJGqPNiPRzcL/Xy6YVkd13luImULD1LDfMSif1Ud+MOuzffasXbz6NxNi3xwSHFw+0aH
sGyKME9tKAQ9FA64yfbFIo9gweN6Tllsl4RggylQZcmDIaB4c1ld8Gza1npMTLpgBZOk6AUMKUgf
NLLiYbtIHusyvWgVj4Tr72jjwZciptsMjvBwai0YyCGG2HZPogWcrtXmFXB08+wJdaFJda3aCkTn
1MMffTCusULj2ju/5qiIcKvXM0zz6TTFRg+XrYc9UrbuXmvnC4dNPUqhqSvX2YrWOfljGf1iuf1q
ja+N+BtdaXTQYjCQzBfyVF9B6Nmoo7oft8ve3Xknjq0n+sTG0D3Qi/rjePzni7MfzZLfHzDfxmHO
DHm31RL99uK0zXhdgHa4aGM3rE8sajfw0tOj9eBvSEI+nK3o9GASCZb3GX+Ul/OJhId8k17aYCJ+
8W5+3Pi+vRmboL3k9nqImfvObzuTsXIoldllRq5au4T54UGb3T/f8Y8166/XeOcOXXQ1WFlWZthc
vwi9C+brf/79P70HHIXr+0gRwf/57tuERrhYBLaly8a6UgGeBxc957cK9V/4vkLZv4fvEc5P/DqH
o+uf/4rf19d+x++Ih7nrzGg7oBRfwerB/Y7fv0rMFNge0+wgHHtY8H/GwyjiafB640mAdf9tPAwT
bClHYoB561EheE7+DX5HM/fDBrPGw1ZfMgYbwz6Ov9ZwwNunLqh8NA6oQ2fw4HBQRlo15FBO1DnU
CwynkfSqD7MUDCKsdeI1DMDSRbMySi/OagtaYC/vJtEfCz7dGjKd5hQyELoldDkjmjh4smA+7O/H
ar70K3vv5iD/y7QB69qd22k6AA540VSpfb6UY1h1HWyEAmDZD6attu1Xm4s+GjtVhyQv5ghODJbo
AqT7wsE6SwnJoYQpM+iyp9mDuN2VzpwE/VzFRLd3jgc1zhksFsHmjoZpIdE89qGDLE+k6/ShDCgS
K2jYdNfFbj6+eEMRylRVMc4r/aSkn0fGyx89GJ1Cz4fWMHG4nkBzw8736Alny/12gXxjbzKuofF1
1Y5BtgRa5Ltuqqp4doyGC256mZv0peonSKQZ9FtEHHIS5FHlFNuimID4RL2h06hjbcC7ctF+FsRx
44nWj23jytDOjB2nSNl5a9yuK+bnvHXT4+AirKRdVoXZms5bY3qs83XswI0aQeTxQyS6gu04Fkfq
KvPEA6PtcEBIEU2lQXbJzxMn9ZtNOYP/LtewDngCiHkBAjzDGuWZ11BPscZ7+Br0SdfIDzjuINRd
kSVWDsfsTPI0qUmXH3PSlBCFxh4dilnux8Vk4NPhMiu6EtDSq/zNMhbFU6NBOeY+ekjTVdVNp6m6
yqDY7TnV00kFqR2buWwOcIHpIbQcR57SsW5XE+R0GvRSsnCpSPoy8dzicO1Yal8zco1sFE0y4LEP
ZMYHv00R/fhoyUC8OrwckipgMPL18yrG8AgNK8Ilsh1CxJ2wbjTshR27AHbHpz4mahSnrlZPcIIG
kaWGS53VUFzSftr4BCLMYDcggdzMhM7UXjo96zcKVIH0dZ8oGhzhnkXosIR2X9vLarkO6nhxCghe
lOdg7VfMM9gZ0GR+69s1DM65V1w0AefHAg3TfQAP7t4DAR1msKltLV4j5Wfp14ml1g4WTaDWOf8v
F/vN2LMexPH3xXw9ob3+axX/enrH8+9JXhyM6PjgYdEK+A5bf/RHFbeR/8WILA9xLMoo+aGK24zA
174OyVtJUtTW7ywsppiuZ8GAngWccMBs/qsq/hV8/AlO1iqO8r2aj9fj4eBZWluBN40bB9HreRZZ
znaV3Su77KMSOCGsW4Xmfak2XHlbOjZ7d7aAEIL7qkG3i6hiE0O0uZPcubCbfl9JmSjDUySA/KoO
knx9lMr1oWrwdAmr1vt+zEUQ16W0XuAgr7C6KdLERz811RS5NUFYsPTlrutBkVSDHK5J3UKTGbzb
sVgbZTOfA7ek4VTbcZtBbFFTczfP1n3j1h+g3Q4hYQtEID3uPWs+Zzk/ICkdw7L5SS+wwBT1GApJ
blrJrmD1uWemq2OEL2iY9ivkRtR0SOvXWS8yzBjdpI4vYqYBVVw2nWGwfIYGO8WusYd4brLPSBQs
cU/AHwUTTwTpx6htMropcMZx2qL0zPsRcmqUjeJIB/9sYxsZaHZcBj8iFJYbUyGuRJk5ws39kJHg
yUJ0FESmjWrUJb1b3Rc5EhZaLh96PW7MQNtLmq46YPOKQfSx0flNMLQGhG11gu63p9V8X3TD0WrM
K9HuHBNr9iMGkz42UziXLARgsIUWO9VZiHpmMNDPDYtTBniAfAs/s7mdowXUcGT6EaJTM0Z9oCXw
CxjPiswWTM+wAtcTUrse8T9ls4A7ns7bPpUwWkygLTnbB569GwZ9TktdI6OUz7ASadWGILSHatu7
ZQ77Rgmne6+jrnNhUi6q0G4Yi7LabBwU5wKaa1FOFvbfKZb19Cy8BsHWAVx9iWKISHo4QkELM9t6
JlrISJveDmkBZqcLvszQoi+geZiEk27YsCHzTuVo71pZ69usA6/K+qo5UiZA7fqBjBc97KCOo0p6
pZOUxo95VdEtiBLYCrD+LweoAL7l7C3V3UMd2ZGB3Y8Gng+RdSTuO0YBJJg8tXXTYgP0sJW41RKm
RlphPa32eLjntjOl5LKdbHads8bf5YXZBk4L8CkOVdHB4KzYMzCFGxf1nJ9xItwYBa6zmXkFjbwb
wWDmZeSO9cvcNRtm8sdGwCYf9IiBZPg+ZTmXkPk82El/lbZba8CfNQIQhjioNoiyo2v8KgH9WCNa
ezJFaQX0XFaIVn6GU+SXLMxPLoEjczyM/ESNRO7tHeKYWzF1Mvecc9G9DMXV3N7Vwelraf4v4Fhn
K/79HoUI8LPBcVY/UQvXF/6BNnD01DonxvMQrMQfb9EG+S0IcK4zgAhsrXCuvkUb7jrFFQegwKqP
iC5+9GafwqGFmBiHNYuNBdMtvsegr96akDGJ4/f/fkvSgS37YQ1in8JIi3V2txesrlqgjh/XYC24
MaXhzZmQUuxakW5hweChBjM4gFiOxoF1p2kAdQufpL0NpuGqlhhyYNfVi3YYuFoLYfU5c5PA1nMk
Rs8OpZNBtcqcJZQWbGNZz63QV94SW+NUXSkRPGTuoiM0vnY0keWIrMdJu86ON2DbYZvcqrl9SLlo
YLDgF4ue+8SHw2UHL9ZBVHAYFo57WDhoHOH4F5j38UG46Br7nF9Dyi/iGqpNT/Qz5vzUsNSLe1PB
GjEieokau5ozzHLh1f7DlCKTAqD4GJTNgzeZY1DQ0+iXd5ZbXfQcJC3iBx9qDUbcooiRpePRX5yb
upYbKqwnhtEIQolNT5Qfdbo9tX7zyLh3aWcV9jp32prJBcvlOc99CdWnniBQWn6f5N6ShXQqS/gQ
Yb2aUzUnnNdDYoyZkSSszuBOsZELe9esjO00DpdjaYZQQLTYAqpspKdupsJIgChaRxZbruzU+8T6
9q4Y5g089Kj8or6aHG8zQwnIEUkBgOuuvMH/kKlUJK0zP3p5h/Ti6LaY7AGfVlnnzcbO5y6umb/t
9XKt4Tza0Kw8TLT8ki2Y0MB79sGD6QMRDNghvSY4S+OzyzL1d5C0btWlk+29Ac6ekR+9GWAVMy43
uW8aaAeIG/SLTHq7N4gf8MfMQz8+qJqFZZNvaVXDQVo1n7DPN7Hs4SZkimKfQJgAtqa5n3c5jJZh
VckXre0vvsu+jA0RO6GcyzWIgXEmUBSJqRI5l8697RbInM0QGP1Vw6hh03C9felSpJuyjeai2FAE
35J5mljEhDdv+dBCfqrdoU9GY13n7fgZLq9RRy7JJfoftV0Upnj4vTo4lmKRwiYTeE0WNpCfEFjy
OYyjYNYtUW8buE0RyboD/IoBqBIC7lFg6WIdBQ+NbewoU725VQ5VmFQhpqTwB5hBEDuI6DLQBC41
IEy3vAkMouUstUMEh/cYY3JKTUdh2UH3UAqJ5wKerYTLlm5s1bAQfALZWCUIVoJsx3Fm9XVqZZ9s
MTrXfVrdcA3n5hoj3sPO14VZP8IdvAxJ5zRlKNCtNg2eFFlB7AISukp995RVhMQtkU7oSXyAtfex
7+mha65zx2mhb3A4hap0P3nN5ZSCMECLcwhY89npSujKs3zGaI828YuuiK3JKuJ2wfoYXYVguXJF
nC3W1p4juXxkwv5s9EnKfdeMSd4o2F9SLANTpc/zGqxis7pIFwh8tW3dTq2zq2lmQcbN7i1RfCkG
PDKsbrC2W3fTBQqO5qoNA7g4EFAp7xDYfQ0MWi8xYd3Zpb91mlokDoT20GoXTJoRqj5ZbHIvaF3d
WXmlLieDAByMwDLxgyWNp8VYaGbTr8Ii3JKjgUpc8BAJQjD8QX6baaxm1xF0r0t4gp0U3zhicQiX
z8t1k7ZeSBc0xl2F0SztbN3YANMxwZVgeFdpaBkPsdiiSDdm7tEeKjirAf0n42SHAilSQFx1XTn2
sWy6W5KSu9TNmxgd2SGFdz2xl2XK4cuF5gQih+rHInC7EaJv7cmoG+RxGIyEhxZ9Ldvk8HLGSuYd
GAiROf/tCVbcup6A8U89wX9KzDf5/PweuX572R8dAeZxr8eacaBD0MA+WrY/kCtArQ+xjNiAqTZ9
E2Wx/d+wQUPxgu9o3fTXH/3ZEeDcWptj6CTkRgeUyb/pCBBbe98R+HDqeuBFfaBXgOV3HQGfhAoG
GB7OMu/bAy8D50LX05HXpYrcQd97INEUTDW7uvHL5QuyJcq6HjA7aVZLHiEmW14HWQv/ajFf98I5
NF3VbFSJvYYukCb9glrbvIRK67TZRhQGZh+1lsc2dULITyKLAqNgvfDbcridRfsUYAgQ9D0flggk
WWXUss45mMlaDrApT2BI55V4GcoinlcqpgcnIwKQM/lK08wU1tyMFsG+XEmcdqVz2Ers8G8Uz237
lfOBA4Fs2pUIMtoi0NBXPLTSROVKGDEPMq8Gh1R8JZMEjdyVXnLBM/GVcDIr9WTKZQqtlY7qVmIK
NvJLulJVPTgrDe5qBoeVkTlm4LSII47jSnL1K92VI9IXSjBg49ANSb2SYiK1UNx1L17TsfE+zouE
qq9clYXI9gO1Zx3dBXq4yQr7lktSD/vWy6z+Oqe12rmqjWrI+jvlzl196/UEWkM2pL5B0ih1tjYd
sZO6qftapMO4X88P2kKpLOKlqq9m2V16TnuoIYMowo68tzZNNx4sePCbBZG5lfhFGXHz9vNYs5u8
D57+CyhQPDDezvun4vHDeXLvS8i3F/9RQjBCFs8nCgWOfKCr4vBnCbF/o8AGEC9W3PB1ftB3CQMl
BAZDaBt/vurPEoKTI4AFYCn5Ckb+Faj4UUX7Sn2hSnk4+mn9pStC+YH6ciHicpnq5bzA3Msxxweb
65sP5iewZf0N74Ez/C9rgVpHxjjvNHhMwPJa5MHpuQOZoQly4tj33M/mX+qBXwH62+us6PoNiddY
sM/o3KVnFyZvqoENPv/zjaxl+x/v5J1LAqGTGkQK7oStAzacD37w2oDPD6xzMCCozGARME/tsBvy
q75JYcf/IlE0xRVrrvv6Voxwc6uj54qEpzXQ0PUgb0e4zqeg+oU0unpX//GdrkDyzWdh5yhtCDTg
s7CTdKmQEX4Y4M5pqHMekXVM0wIJpFffgksM/8q9/BdS+Kqw/eUNUAhtHsayIm351Zjx5g1Aj6e9
If58BgzIaUQDXZ4Kh9l9NLeY8xIFX8sgyuhBQxtyh/GGlqMXjmgJI7MWTb2WT9YOxGx6QQ4jxsHp
bVk9sso+jCnByEVmSfphsiu5tYtA8jDlfYjxAYn20DCjQWcGmfx+jg0SKNlyhhCVVAKpSmWFg4dQ
9RRcVewqXeQmHR67FC01bBWCX9h9Ce+DFxu4ZJGz2YMUinwkLWfZwqB3h0FcKvZsTFJEGjCfKfjM
4eQT5K1BY6nHTiJJY9mhGmvMW3CupbyQ4KJMzRC+Q7amxT6VNMFd73ixI91Qmgnpw1w4sZMrHhNe
wdVflE+9BVW+WuARdUEoF+L3pg/J478hE360xvzlwX/PeY950Ml+6pYz2dq7dL+c+gd7iyDjuQvp
qd+pSCc8RrpxY0cHfag2TTw9Wfti02/JFvOsNvJb5vpv39CPncw3fu3t4wta5u2SdWD69at1yTbF
HkRnPcYIpKmNIr8oRz9bmW+v867ggYhYyizDdRAZLe+mz0pE+RA5LPbSXzwE9MeP+NstvX0I3jVn
AZ4YbQeIyWZ2JK+KKR6mSGPQS5fIIBLn8Ve39mMt//16gEgwrQcBXOvvKmDlVRMgps3OIwwe9fJi
rKt/roA/K4BQ4f+4wLvPDjNHMS9FMHaGY25NqIwWvIPFL76gX13kXZUNpsBbQAWwc2COizr03h1k
yH++j59tSW/v4115nLFXa1257IxZgNEEHEy8G7jwA6Q0v17of5pu/dtBAuuF3k4o+P3C/7+nLWJ7
+XNw4jdNcBXq/p5v3ZZf6p9oguuL/miLKI5CAsX6DQZ97X3eIKvVhYi/KWIWvo11/r0tCn5D/h+D
+QIQhdAN12bie1sU/AYZEZAKf9BvDO2/4Fqp9+PDhPq4ypUEjRnjHIrgSvi+rUfIBfpsGnhwZpVG
vsClSwtHRSPqa9uCNTNxM4yp+AjGQl/DkVF7h8rkdbSY4OTJ4KTroIjaqngpVHOYEZI3rEc63XFA
QcEQhQms2l729WSrZDDBdcHH13XQReRr/hwMbGshzSq6PBau2hLRbnltX8Idt7Py8sXVkx35sjkJ
OV4XLJeh12s4zb2dT9iOSEQEkLyP8qCBNCLnLYYhXLKFxDk0LmhGbrkZkHaYKawVtUVfZAU9URnY
5Lj/iMmte5hBPwGrXSDkX7pJint7WgWwPkUWo3WbL3rmcYGZTQhd9DMmAzfqDNPbZsKWjvFpdKf6
5gitxERjj2R0YVs6aSvEsVC2cLdwvcRdszxUmBiLAYIYiSY7RPkLR0PLt8PMYVsMbhUbXSDzRrXw
EznSZ17oI1gpEyvHR6K1GZ6qKf0IA8ttVjdnjHHJQ6tK3U3VMcApUu9H+CPCIIfxllqVG5PRMWFT
8WbbrlaQATFpGHeDUyvn68ot9h24YSie8vNcYfAD4Ri/gJFk97x0KMjZ+RmN3whQSV97Zh2oGfYw
QpykhoqXBnCMGrBKu2AcxhOywBK2FcsCc9eflqL8Uln1+Ijv89i7H5cKk1ryLgLHdVUqeSBeejti
HwZ3jdRHTJHEzkBrIR2Q1Pnqv8SAlyYDE9UXARguOCb3ZQeTH+b3Ztucc41puWAALphvZQe/aMyW
YVLRHp9LSxIEStttlvLgNgV0DKBpr8F/1Szezrizg0G/rlPG5TCJLYWYi1kStYa5GxvxA288vrOW
gjz+P6mH//viauuMkb8vh/+pnj83+idFFK/6ox5Ce8LJnrBMOhjssAbL/oSJFB4JHyAN8yh/JJow
Bx0I0Ua5+2pmezuAlv/GqO9CevrdH+f/G6IJWOWHhv5ru4gzFnwM/0TFRmju3dbftO5SuHPanUlp
30Gbv2Wde6yc7rqYwH6PK+spCKYYUmcn51nG1cqMIpcC9XwaECFRrcKsknGIMdfshjjLEmWtT8PR
6b2wWygkoJVkDvC7ar/JkhIs+T4QmsEMV97qlbOFp5rjyZ8uLIUQaVXLNoJDyoqsyU1jf+V9S8OA
MPtRXRKQwrAguBe+WeqTZKwPGw+GJZF2ImErndyBJOIrw+xlSE4tur7Lag4GaaWhie72Crw0EIVI
ugLDz3yn+oIRmfcYL2iFJXN3DVhtPB/wTajuYlkJ78UVL9AAJQzGAwxxYMXh95D0RFemPHvWNmwE
Ytc0qYhHMwB4rdS6PxdI8JRTEbOla5MWDPy4QD/HDI/PA7h52rdjGBDckDbpvgN/P1t+i3HpibWc
BlD7k8M/uqD6m5XzD2aXxAFkAC0Qa1h1AcdwDAqe6Lnw9KoZDAmygvhKbL8LeyG6vb9qDBgaeMNW
1SGA/DBBhuhqjplhqzKRU7g52KpWdL6BbuHpIWnTpk/KVdVIi5EC0vMTg+CBYQEYl4DMk+Q19C4M
ByCrOqJsTDnlHShHL8D4SVgmVCJWPUX0xI5SSCzCamQId9wWYdtDV/h3TrA801WZqWaMKyB9Ik32
f9k7k964rf5Lf5VG7xnwcrgkF71hzbNKs7QhZFvmPM/89P3QiRPbcRLkj940kDd4F4YtlUpVdYff
Oec5zjJnaWPvrNhAEXN6YrcLibyjC57LhODjcBVcxJ7I1JuCENyd7aH02Vwiiji/TEb1Mcy5zWkc
inmDvzk5kbwq8iE7xOK5KrtTBTZxqdgGHOBef0fGe++scVzXzYA0UtveFpLhh5SPqJvzoyxi5pIM
5ltiBX59SG1130XRSzE5HFpBypt5sMl75ViOY+HWXEi4xnrCzWOPfaSuz0008fHp7gNS42Vg2dtM
B3ARKemdN+k44bX2qdStXVwCpLfNfM/cj0QQHsC1XWc76ZsPVaAG+67JpBtH0x3fsz+yi3eg5PJ8
1fiyWnzBBnYV/EfhzC/egHbDjiOXwjOewFOg6k4YPOuagFStcTkZFDbNYAxLN6kxQU1DnT/7qudv
syCobiI8XG4PVX/IRgEcJn20NXxCfhNAaotQSrQ85AUqMgL8ETJVGId82hsNDsMsvEVEHMiV7NTJ
VnelHews4SUbyc/illIfXZbFhnBZfcN+OHFNz7ZGU24jRUKHYSgVRQ3T5EQRfNKMZgFVkIyXEVhL
h+BcMzM15gSdYphgJhx8m92DGKKDWbX7XB+hIVR3nYUqO9XpJoDA5GapN7lZLM7d0D6E+KdchPGb
1GivMVgeG9BKnU7MBTCBxlCt3TSPHiG/7kn5bce6vp+DGm7ZZqqr5jmB92Q4xnW5stQqX6cjCrJW
DSevwsiUEY4cyP5ZUHQ0UnfuWLefDdN7DX1xMfLorHTFDWbZEn9X/cHzTOyR8fScBAw5jNK2gTuk
r2SxQKIhOrqNVtzngXEYlCKfM2UDua25WUCfSwZCQ2YI/7PCFOSAS2fN6b8tXJ0Hvipb3t9s4QkY
r/efbOF81dctnLIhEtYkHtit7VkU+mYL/7K7m/wPZBY+ES5CX680xNDhnTHQJSBof28fsX+ZU+iW
ZTq6AxYGP8q/udL8CbXM+UEjaK7DH+bnJCfy/ZXGr6w+inQ7uSiifPFDGBdTm3wQo7lLUPTdCIdh
zfpuUVKidniNdf/ojOW5t2cwQo/JPA0BIbW+sqisVlsT8VuruX7Xh522sq28XXQ+oZLGW0qFPSwU
zWNocxxPRHIMTNgUnVJtk7h+SyUzr1YYnzyNszDIIp8s0HAY7O5T3IJPm9PYS2Q3uEmd6Yoxm1Zq
C+mDK/uwBDvYLKyWkguaI+SiybNxneXjjTZiydL85NAOJjEvv3nWgUgv4UF+ylW5x8NfLMshw5vW
AU0hT+WaAcztzHJuJkc8kVcifW5zoA8CpQf91vBHGYWLyS80JnG+hzeBBG6zHi1muyVERqaDw+MU
+KfGyg6FVxwCnhNrdFi5qabd9mG8JO+ermJgK57Q7r0xaRCe2pSdUIcgX9OYUsT4d6AXbFN9BGRk
F0+2WSkYC0e/9Tnll6F/12hR8aqW/SNoFoorZue/3tSbRGBPjCA8DT6syyzepAUTVKM18W+Qy0R/
JgTM8f8U+NqjXrKYtGF/UaQhV3HcTkvNnPzV5BCJ8itH2Sh5e6srwSeTeMEG5OpCAFI95PKtGd6g
za6NQr7Vo55v2krdJC3nqKro0/zREUF2l6hJEb+H/vSpH4LbSWfPtr44NOIqsO037kRnj/f3TiWb
vx0aLb9oledcjNSr9yPlHIaDlNZbcttUmAhU8EuLgO6Nsx5N3OzCPO03wKqfeqaCVpgGJ33I3wFY
ctvNfYdENfH8yf1vnfuyzom/vaoQNH6vwrfkzyvd/HW/r3R0YiBrq85vAxqGJ1+HN0KiaaFzMTf5
4nnjq76udPovhq5bKnkZvvDXxM7X4Y1GTZtt2kDqmV3OUvu/Wun+HLwG6kj4h2VdY4LD2vn9SkfI
GRVcKcfToBfYbahSsa1TYemF91mdSKICiOBcySKlh6o1bXMZz41G3hDhwJBGfOtp0MpsPGTbSnAK
dHWpffTJMixyx+PdHN/FXpzeYLINOMdLbQ3sEhutodanXMrPQWFHhD6IlYisDtdB2+orq8a/1Egg
5l0qzOPU1ulOyZKmxLLLCWExyDpYRJFfnQt0P7cLnWMkm/jgyDBb1kU/rivTmQUkfMJJqhaL1BEV
bnFmO0Y37mMzPNp54x3SMInXseLEeHDJU7k47wH2cHVbD44VLGEHY4bSh3gh4i8LYhKuARxlIBeV
l4QOoUIO2d4K2nshA3XppQaY6VAWC98ZlXMVyY99Rl9TmVtiQ7Dm8xRFr1Yf1ilXDZHues/yjoUR
jQ9Vyj5AecPJr3UGEkH03kDpfoHIpF4nOGXrTiY0TdUJljmGD1zNnMw5dIonVrJXlb1RDOrRhHm3
CQMNSlTVymNlWVcbJ9VdKpJdH4z31HFkbm5kxka186slcd04HoZrClvIV+UgeqaYS6ahck0Zxlg5
ioDVF2RmYL50BTxgT9XjQ+ONotn4qTIyA5kq9KNLwGvXAfsOTyMEbDDfvvD8chHxncCKO0pzKWwH
IYn9VjF3RTNq94rWJiHXi3jaV13mXMJu5MqbT3buuxxRde/ieIhbVC44nzvhxEctd5YCLPud0UEA
/O+U9tvcmUPLX5/SgMQ3Pzuk8UVfl665cA73Dd0uc0RQk9/OWTT+ah5I898XJtDvS9fcE8uYlIng
H2HDr0uXQ7U3MUAHrUAHe8Ja8y8OaSj4fxq0zGFCRs+zcRhl/odBS1cMNbT+QEcuN8hAD92uB0mw
FJGus8+V61wnm18145Ol4XipfeNjpdvHhhvA0pyB3NGAaaSpgkOD49JlFHpSIrVy7QlwyAAXbqjm
mjOnyhd53n4YnewlCLFspsktBL9NNjZ70Ei3ZcEkJirHmWCo1Uw+tWPGKuL6ivVQx06+SJy0AZXt
PRBzfDLpAeBWPMEZHdKL6esX0cuVw+jbAtoQm5O+mzqvWrQx1MGOhDidQSvNLj7jKrpte9/cZ3iZ
i7H6YIcjYcTpccCH5MZAT2AdxqDQjDRbsnov1IFjplUEj71oX2PMdosgDrZamwNRI7nnpoFeuQ23
4kVY6Oc4LfdJbOjA/arPZRewCsDKXUyJfQnTivmRX14isyv2Q9rAtw6ZzVgp4mMcVP4CQJ9HUVeu
LhkMTBAUjemzzef73BnWxynkl1t4aXDVoGe7QV29Bzh3TlGe7EwHXd3TCmTnrLYvNVkErJ89rxo2
a7fyG38Rp8Q3GD4ELhdnuSHh6LuyAj5uwIG5qr4uNlMRAYX0Q1bvDLWZrgwwjKnur2DtEPnXh4T4
YMiwPJhbcCY6XeSAIZvL6Db16GwTw8g5zWD/MdTCWxu9nqxYlLVNk+vpKtOjI+6jw9RElziDtDj6
0zJM7c/o4dKNLFRoBY7ucoQUuhKeNW6I1SUrNQpI0BsCjklVOpsmwp0ZDVW7cTTI56lfUWtDZ8At
Zzl70xZmsNKFGm1VFRIb1nXdrXVdubJpGW468UzLQZLVwPC+tn0FIPLY2+wGxKwVmghgFcfh3mSw
sfG14H7U6pu2VbNVoNj0szXFhzwh7xoGkvYLQJn7wuGM65MQgf0y/4pCjZh9bUYPGbULbg3sYTu2
VFVpgw/5xMtwRxAchck8eeRFINvoldJu7Z4TZ9AbjCqtNvwUp8RV1cjyKBpMla3aROvWTGZVhFkI
AHY3dbLKpagjhfkH8FOJeggHRZpA14zkdRLDNRraW9mn8arWIhEuEi05U9zSbGH7f26QaRvRBeum
AO+YOEl1CuG0L/QBxlRVyp0ce+8oFavbYBoxbjWlfUTYaZSl2rQD/n9tEMIN2+Jjz09lTWBevSBK
3NoOyo0SjvdC6cV6IN66UDtnn6WaXPX9KFwHDYNT/Ai5llkspRmrMMuUvWKo21DXH7pZlMDed5+i
UlhRdtNbNWhi61Sbrx5aRpvL7pnh5XuPyjHMckc2Cx/2LIG0X8SQWRYJZ4HEj9WjxqMFRXDoOuNz
SacFxunkpPaqcDvHepxmuSWMJps7UfqptugposZkl6PNkNc7ktKlQ2eWbbJZwIlDQW9DFxDvHfOB
kxIzq4p/ns3Sj1Xr5nqc5SBRppcWkmyCTqSiF6FssQqqoPgstKQQTWmIpWS8i8zU1bm/Fq0gRYpz
Y5aiulmUsmZ5KkGngtL21EqGqwSgbpzBspGSELTImfMvZ5GrneWuAt2rjdQt+PuMckJvHc3SGOEk
5MNZLlMGZ9kM1Xs9C2lmFy69QJMvSDOpucrR2zKt+Zijv2Wt+YwYaO5ClLmomj4Ms1TX5jQLzuJd
MMt4qZiWibTOAfpeMAt9Gopf7BB+hrS1VUpJpKpcRrM4qIT9NWvTY6LVzFvRDxvbgZihnwW6omKU
G58mGl5ThHDBn823wKa4tA7bz3VooVL1zarLx12TGsGqtZKFYsRX2kMU9oJ2kejjIWiSa+ooSzoZ
7xPq0AKZba0WwlKbhvdJ2CxaTSI1erXlpuO09WhHIsRFLg0Ml6MtGKS8ey2touxjyripba22mV7H
ycKX2a0awjn672b36wSLa85fn43IBUKX/vO9TuWrvjkcWY7JBcPQqDdDgf/jXgduAd2HexIYK+OL
cfn3e53zC3d3/oqLHa7E73ALDLeYN+GTpq3i3+MWrHlC9YeXcFahoPljC8A6jdDPPOv7e90A3IAK
F9jQ8VRY426Seap/6AK98S7Ug+hpymFH0ba2N79P2+BuNHB8xZLSWARcaAuehDmclPGqdRr4aWaq
blWU16U9QP9uu/xNjBMJVTN8m8p6AO9EnV9Vy0OCykrAIbqJSjoxfK9B0a6hpNv0ctjjxJrpcKpi
eOWBs4rhOygQ34OqSZaBbA5tVjiusMKnTshrqGcbmQBjzodl1k2bsGQO16kpdLUov07MnnOZ7wh8
mG6Y5FQONQpnESD1rKbTmxNVVylLdduykjN01m40tUlOrTHla8p4sqXmJTk9WOVn0G9vJIibRarA
8xvfCSmZy9GE/qVAAk5SCK+a8VRkAOJY3oqtUdN+VunkqGKKWV09ZzA1YQFYiG446BOUbq2a3lvb
W7fQ5oXTb4SFe7oAE6bXq4q6Lna3jp0EZGvV6e8NH+24Z8buqC4n1WPGR38yuf+2vofB2QIMx/IA
RzLDtl1sUxaOIY/uExaSpsmuRaUeAhYYTBF0yJjpteMlbec1SB3CKts0Cv2ttiz2wkw/ZHWAVMXV
kz3uSKMTIPEvlgyGtNVVDJx/XoFM+dqKuygGDih1Y7FJBWuOr6JxY9h2cnDh8UcgmmyWVQ+Vsv0I
FGNtaY6/6G3+Omz7d04+NZSuwYFkOWybMTgbmWevSMqN67IJPvcKC11kjy9SxeE3DVfRiVe9KvZq
Pr2EHa4vadbMAnzjU6gN+171x9ckKDFjNgVNewDQ7a7qXFNF9zCrK3U3WwwhypH+ufsx5Gnhsuem
7NsXb4B7ztALHcFctkHDhhJLhwHDqG4n67OIcoPypuaxa2juSQvsbQlNUjEzgY2phBTDUbFXCJOR
alctlDz46MflBApynNZ2j7Iajf5GU+qXsM+3OR+bRWZng0uTFueFekJeYpAqaKkZesNDZFNuRk95
ZqYCkEQX7DvRA43NGF2FZiEvIu5Q7EfvzDaxYsqvm3yfkXZxA1rC2hJ8YiDjz3XArTo13rqaA0+C
sBSP0Rm57VBA73CJrx0yKs1cotwdF3H2/AD0X9R0/aYcqKtpMObCI0zeoCC9TFa+ShNzp9b+ix7r
xd2kwBpWAhtKnmY+4Ja4G9CKVad/LgMj3BWBs5uG8uD5dnHw8vpZcraiBPNOkXIX6PZFceproMr3
wpjOaVpt45z35iShXRQia5c0At52HWcTSpT8NtxUUeCs4gGmHJ8e+Vp39Q5zSXvr2R1l3Fmy5vx/
kE0d/7e1/Xbt5xr811vb8j35X2eoKz+7+vOFv+9u+i9wZwjqit/yPN/sbga3eI38rvFVafm6u80l
v3jgaQaeKzRnz9nvljODyhqM7UgqUoLVRaD8N1d/84e9zUCVYcZA3Igcj2HMjpJvDWeNB1A/mTLt
JuOkp8YhOF54/N3461vkL322P/KAeSbIT7MrhPgA/a1Qvb9/IJodYy4+cX9D2j3e4a62jZU5taCx
wdrnGmUjSk+5uGjyizO2xzIuHiytovcMKXzR04+4ihmBHjoGkkuyNJScjqD8AZrPKlH13NcF00k7
YJGfb+xBndwVPOBCK5KbXIUkJ6wMfHmplUubPrCFzmWT26B9KGFg4AtHtxb1NLfKc8uNs7UnuzXg
jmbZotMsa/jAlG08KQx0HaOlRVvoz4GR5IA5zDu8q7dKOtCxY56bUO3Its72ONvZ0RR27r3UB2Mj
HviYJ67qg6vX5kWk7ZorhWNraoufHLt613zr1U/Hl2pO0caQxJcUeN6YlXeQVhqu0eu2kjnjpg7m
avaqesilvw1tg3aEIDgwIfqQ9UG87hjTLmWHrpPkQ7GknoZrJzlGXOnTq4ABCkAouhg2bKAxYcYI
6aOU8WtriYeq9k/5kLYu9OBbq2w3AK22BGcVZhu0QPaGDn2XItcFs9E7ZSySRdpA1LOcV6chwKpj
NS6Zqdatgbufe4vNEY3XL6KPpv1sj2hXqjRPSgfTD6sM2UIOGsIaz1pPW8fIyaYPRLiORXJD81u0
Bj25mVLjBMqfIhdhbJyO323QM/5WJLUJRem8QsGCwRbf5tk0LvWpfgwlNgifFjAXR/1d3bc7YWLg
q3T1o5rAT/H78TEJQ3Mz6BOJCnwMdRB1FJZVn0SifdL6hAPEILbgLnYYnQSniX7DDOqaUuk6WLk8
WjrAUJlkH6eoeA4sBugpbR3s49HSKK1427f6hsHLQtO9NVdM+sh4i+GtMGhvEkNQvmVRTnnBZCvN
uDAlwGmhDnEIoZOOk3pr9CVzcatfC7uf75PVsAekjbCP6V/1iI0a+qdedXZkTtbdlOPFG+Oie4xN
fb719kKdMPbP2/MgwmUcwe8lBisYIDVzRtou3ziN3opYebfpanBLdpicdyNzjg4kWN1g5ACh38dQ
Q1OTiQ0lJ3bF4U5h6GGGMVdMgKtzUK5/kZFVrwa/OPmh6i3qYuAEPBcA1vgbESGbetv3zTP9tiRc
nWjRRSo9ifkplnxk9SwG9moeEkXZ4YwHy+8HwWoaRkaJXfhJ9mPqRn2ku0Mrbumd2gy0BcWcUxdD
y61fFs99tcJttQsMLJoNIElpveEFfZ1MWp+shH6NMXlNjLuur5m/tPuCgXiicE6iiUCDgMp4zWjI
1OqrXje2naavKxFw3pqKbqNboDJVFBJUW+M1w4zZDHm/9JSqQuQsNq3ILmPev1Q5jvdwNB7pFbdP
hUID7P1M6PJto/K2uYZg8E/L6PeGuHkVZbswOMhhDebGNCv63y7XdU07jDfK8aYfF5ZrbLz9cJef
dlHjKm/ZU7GKd9y2Xe/AWapdklHZfbPB3fx65/kWBjGPgf+4Cf328DMsxGQcS3pr/vG+CdjA5wZ+
KdvpprPeCm/nqJQrDK9Knrr//nE0lZQaGR5pcLn7/nGchj0rpIjxRoRHStBhs787/o7s4z88zve7
36/Ph98neyDmbQsH1vePUxLQNyEDqTfSPFQShZvItvH098/F+Nlr9u2T+eFB2kBVaw3t+6Zb149Y
uFbdVv1kL2eP3CnlPebeVitmyGtt+3C2l4l77gi6PNYrb3WN9r27hS93bJb8w2W+5v+rx7//+bQ/
ZWB4T80xXovWLu7SXwwc37yoCWXSXEpUccOg/exdwXaexJO/B4JDlH05uvsXsRkW53LdbwkupAeu
aVcmkGv8Cr9mV/5fBxf+/zPqzqG+vz5Inpi7vlfv45+nJPPX/X6OVPHWUh7AUfHLgZAT4Vf1G3UJ
ICQit5R8Jr+oO1/Vb/kLdYMcIue5ypwj/6ofmcxVbAcfr2FppDB5oH+hH1nmnJP6Y2FgREIIfBbe
bR2OEOfZHz6wacERY0RhOqf61K0L1TNgCFovlu2vcqt90hr5EE9Xb8QqXoqVVtrXtvEfvGSKaQ+1
9AWNXssyG0/yGPnKR72PH1KqWpdCr6INzbYfZNM0LrymXZEy2PdprCvafG2KiqMeE+8Fn79XJeuK
D6LhmKdDmVhFRuitpyDa9iEhBc+v9pyPQjfSg6fUzJkMOC+T0rhJYVNRFZZvYxSTStffKimeoTrM
Ps9h7kCbG+njnNPGTEfgBGGmefcEYfGV63N4yArhrURvyqVaRA9xm7yqozXtjNTfeTVUcmkzgCi1
Vw5QZ2b2C/apO6faxJO6Kp28cs2of2iD8AUoIu7S/KmuFH+PZ2/pUKaVZt1ZREAHk/E8jOGZ3vdF
OVZM28PgU140F05jJT7G/uzgHsXNqu2MfB2VbGxjvtC0uxlfbK2LJn4pNU5m/IibukZVYvi/TIwE
Oy7W2QWnBPvBMzw3R/bYdpJuaOiYm8hTjjLN+23eQMTxwnbV59FtUcujZLKwNkiTz5GCbZknnyoF
60Kj1YUbYNSpoNdgI2pvRoa+aqRKV6X4BmGKAU0YGvsk4/GShJIdn0mNVX1QpzGE2y6PAe1IeR29
DdJzXLu1jjDYL0nhnJkmLGVkzk6n6Nj7GG+gYVPdlbqNMasWqtm5WUBI3p9yBMG+Ey4aHJZSC/9E
GDb0AlrMiMaQ1vImnW6oCnozC2Xnz6ixtqYHEGQbyvp4xRBULywkE1nqH0ctKhdGGd1mIqWAj1eO
A/ODmfdumSbVCs3XPpaK2CV2fqJT6xWi3mNQUwZV2mDD+pHGbilzbKhttBgrkXIia3agO2C+UAPS
hlXBuMtyFmGQXr3a0AEPDduUS9C68nXaJUfZu0QrdEbqYCrtz7wetC8XF6MK1rFUSdkk6iINUrfo
4NiMiX4XTdkrHSmHRvSnfNKwiDfZ3qubo0rLk5bSAJGoxc7u7A9R7e+cwN8QoU64rdT3tNrBOlDw
pUoO6Pm+hWCNs2QXq/5FUbPXrE4eZFzyS536o6FXB73NT20H2q6Ih2uSdpvBC4/G3Kw59dvCyXei
MtaEPralj1EfRdCtRv1QwMvva/VG5QK1bif60bHN9bSkubUxrcOKgUyL22OcrH3laLdQBA4cj7dG
jC5MMUC7izqw/Wp18gvrkhXdxzocLfCr2l2d108++iKWmhOq5zLwx9tMTRhy8qGPE/rL+vDJj62N
6aNXytDejSZzUXpVeXc0Jz2D7mpb+tWI/B1OpGuqdB7DunIRtNWuc9RndYDfTQd4snS09pZUE2BT
UHaTZQVEH9PntgEL3iLKjM1SGyb2Tzs76Yl8Zaa56ZV+1Tg9xZvdSwb4rjbVz1PtA3egn3CqvedQ
pcAD/Yeq2Fst5HaQ2FxHYLiarH2DrqOTpbSXyOTg+O3RcBiENS0nP+EcgiC4GF3CKGlE4s39U+8Z
Kdyg7APtrLarVMlZUZ1NmTtnnNnRwu6HdVqqYsU14jEkSww8+EmPFTCH0d00v4S6bX4ocIjkeO4A
4h3AWT0NanfRhTirpEoDybSrGvs3TcHBGRZ+yOcEs2PDa1EJc521fkiLWfpa6PppRLcHvjVPsLgN
ZrQt11I8WlLdlyi4QRAtaay8UgwoFppxb/ktkPrpQ5RYd5PZ+McMXMUOYfy2YICszMBKr0xWxmS+
ikJuLM1zDb03t1FDgUlfDdo2Hgw+y/57DCSHgNHcyWmNR0An2loIMhZqyB2tNCtYh0Gx0AYbU5Ov
buu0fa778K7MpuPY+vdeVW/p8fTn/srHrA83POd7f0yemjLoKHq/QSumZ5V2ykiOLCvDxjTyS9/4
96E61dx/u60CT7+ZSDjXyLKJ2Fa+w6+GHDBeMTfoxiupjLs4ye2VijK+tIlkuZ3or4UuT3XCfr9K
akVLVm1fho8mPWIs/tI6aBmB+pQexHVQSjctJ8sN7Y5P53SEdEzqoeIpEQKg8X7cWH7m3NCBY7tp
02WrScFqT06dy3wHFLdr0w8dKjse7mjNDsNc1GaaWmgJznzcoHmz9QIlXA4JpMe8c7p9RJLQLako
zYis0E+YMDSlxUCPKuHKECSnmSRPXe5r0LVktbRgxMMIqy3FTSPJuD/1jz0Zk0tWiuY5EhaQE2Bv
yrq1e/Na99m0TzCO4J9IDJvKQ6Duq6KfkiUt5sder/b0Y9xodrw2BqhL2vSYlt6tX1aHttTwwzHP
1hIbZ6conz1qOReW368qOCtuFw+b1vDild40H7qoxY1mvxiefur6kU0mXFIYs248JBC9vi9oyVja
VvDGyvqo6tXW64OLag7vXqQf0olfkxOEK95IOYhf/bmYzAMm0RNSp75gYLOMcMQpRbqn4AGr6Nja
S1l5l0g1l7S73zKEDV0rnXaFL4/mEG5FRTVPXOxSB1Z/rsbL0MINKyMdXl16x/0TPPVI9UeW3Wf0
LaCvxAc17HeqqjCRgjYjaFAZyh2u/I0SBzvfKg9+0TzBHDwkmdgT/AR0ZdMtVHz0omkVxf518Dgp
jGaxmrxgVTHaN8vmPQ2co5Jli5o33TC0B7piP0pdpYzIyXZM0m4rLVqBfV44RoRFMZXbYFDv6pnu
3WS0LVOURYkhHl/AqR5oMgoy56bYet1EYpu22nNnGxTAimFtKjljOFAWHu9HxtMlq3v8nOjtwheU
vPaVtnJAdiHdJFSYRI+OQ/GwPd2QwQno2xL3IyYDPSqecuCJS4hVjAOZHXhVThwl6tsVw/lzb6pn
z9dfB7WRqzAqZnL2JnLCnROqDpgMGsfi6b0YmdwVXNdZ35uj1Hiz+HlvosFY6AVjIVZcuu1LLpAQ
jHZFQRBOv0a9JoZyTBr4pYqvr2tQz65n4vepajXdBqN8MftovHNYaYiuDsdhsMn69PnTYE7XQpEv
mhZ56yIsn1UiNAzH2nVcd8kiq3nWtge+Z156qLpEXneCrQ8xDFpsfMIBtI59ZbooWnUohE+JpUQ3
LKsUj99AP+TICMngT2M8LkVX3vnhUGySCaekpUU0wbS0RM27tmk8D4IPWkSD5BI0RQKNzTiLODzH
fbwwgDTurGBinuNVM9xUf8Lp7u/7yrs6dfJC0NPYzh93KrKodsvYzWM0uBc7aO6ywriKfgiPDu2V
tih2fqHeaz4nmtxUIQq2Gx/unZrGx9JXN61lVK5vpp9bm7wRrXorX7fvYwSbsIkOcSc5Z/YDTpbm
eRTlrTMAGMoK6xwJ/5xa0TqxjPEA7vWxTJwXY9BvEZPzg6nTANwCsF1rjfEypXQr1kKZu7mzTdbx
jRXogTn9kssiM7ptlEAor7OC3dE3UlW/oxtZ4xpRVYqxouTM0Ah66VJZaSLEr/QP2IYfJhEz/wvy
HhUa7PGOTh7t+0mEFqrqQAlleIkKeL3ZqYYU5Rh331wr/3l889uD0MwGT5arvjXf4r656ccevXgM
8sKLOmIDPql0xCrGfdPf//3DcBP95jJIR8b8XCwaEIEPGTiv5ynSNw/jqarDLUDl4K597vMHRf8V
ef6XYsJPvj+ZVaESxueySdPC99+/dkaZ5zJNLlnPG42pI/6D32/fP/k1/ez7k4flN8QvCvrpD1Mu
36KDTjdx8tjcO8wb8zcc7l/+/PPA54/L8p9/Pz/8/NSdQSVkKSWJsKGwPBbryloaQDzfk2j590/l
Jw81GzuhmRv43E3nh5cisSE2ku2ML/jhgDg32AdnJOqCbRjUy98/1vxj//C0vntZ5rf4Ny+7KsK0
s2SSMEZbODQzcO9qlqypY7f++wf62ZP69vX/4UllFsJ5a//6QHpI4Y87BGv2kXkrLv7hvfaTz6VF
C4iKn19HuNd+GLjqJggdNt7sUutrD9zvsDK9j3//dH72dvvmIX58u021yVnJVLNLZr9F3ouh/A/e
zjNfHiER1j1+4e9fl6ikC9Yg3n+JWAF1i8Th/2DxQlNXJYGyOYmGIvndK58pGed7KQi8Wm+9dcZ5
QnvfP6xdP3vReRNbZNmIWYgvDuZv3l0Oqn022hPgWw5+48ImwmBecajlxXLS/+Gd/JPHslWehkag
xBLMn75/PsSXGLJFZoYjnzPJikquAO9p6eacsW6/vPj/jTwFn6TfF90ZHfMbzOX8lr7/n/99fIvf
/zzunL/m93Hn3N6gQkjBefVbD8Pv407aGxyihCZS8m/A7K/jTrKQ8zvR0hhRIrnP89OvE0/7Fwp7
2CxgCXBenet1/8XE8ydUbIuxKRlKgHgo9Yxfv3+PEHOhfbzMzEvcJf5B8bmE3A1DDFuRw3G86YnX
cQ5GncVpssRQneyMyuzBYyrmNvaYxaSjlp56pDzKaxKS2gOmZ4Zac29MKo62iWzWR6T6YtLiCu/G
kzUhrw2Jupapz6ge77gz2e9m1HGzYTS69Dzq3SAL+ByF+kOE30P5YvyYLSAIuDttNoUksz2kno0i
vYg2Cc6RSS82PU6ScraUqLO5BMdwt8jwmzSTODtw/S2vxUFmX2Bt72gUvgvtOblXPyuzcSXz8kOJ
k6WaLS04tJ4TrOY2XpcUz4sfYn5hbQ1cYzbECJwxrCM73S6ojvNedJwzM9vOHTvgtvFsq6lnbTzE
acNiQ99PVVjUbDuHcrbjxNX/Ze88liNH0qz7KmP/3tugxWI2oSNIBoOazA2MZJKQDg04gKef41lT
1VX9d49Z73tXIpnGCACOT9x7rgWPpTg3hASv/Cwm4NR5b1Hw9Ev5zSqanqyHCF4pctSj+iS17EfS
v7rogIyZBkgLg8IFpm+OVsjXoiHbn08LKqKgTe4Io2Oc3GfEwHOCNVpyFM54yLUIiTEveevokkii
e8vRKaHFqdauTUQjAwFWznXyCbSXAW+NwKkkmcFD8VRo6RPu/TP1sLVRWhaFsvS5jhKHUNbvQQun
PC2hwufDgocpMufRt9AyK6qs20YLrxYtwRrRYgValCVQZxGyS6R6dwi1bMsZq3WmhVxuXOarSYu7
sK6eAtRevpZ9ZVoAZqIEc1CEubFDJ7TcNYF4xP/zpqjssXUk36gh5h1r33DLvp6aej7kWnDW/pKe
oUGbtBhN0JYB0Ih3GTq1WQvW2CjtfBRsM+KPCtVw3e4gp3YfzMqs68l1sTZJTXrp2cAVG6X5L3x+
7yBnDYWBTQwgZoR0RApo4NM90epzpSyfHJMm4odz/Y0vQGkAoLICK/t0FxKPBgE9ZzRR1klymEfj
duFhuJuDzCe6MGB2omWMk7JOtp3Zawdjvt3wM0tai9ssxoPrT0bFEGAEiuA2Ns4LcwZcY6fTUeKs
WrlNlZ6CYFr2/uiqbcX4eDUTJoI/edypXn4GDESbEWEFh9SNDaCcMIvwDnZTvOmK7Nx4BHha5osK
3PmhNQnaLDHSrKwGzIDNSM2M2nobEFqEtcbOt2AL4Tqy38AnDMUbXT6K8YD7xkKV6Jcs9E01jGfp
OGzbq3BFy3yTk7GRh6CkB9xuq6GACoCr+aMdxN60sQ6P8LtLb8DK7wYnQTz3yYyLYFMRX7yygrL9
YfkN3IwyUHRI5HmAAYRjmPgFdoy2ZnBRyPXSL8ZnY1qvmZTRLkSvyXBNBftyQbOQ54W7rySIgg6n
z36EOLUyLX19I0+uFie6asJkXyh1TnmiYKaQ1xy2d4niUxvChY5PDshMNLZE1lqFrCKypb0hkS1Y
T4mPRZIJjt2TKlN30P+yZN7JUt4lbkq+JHGU6ypwrwLcyitVG/vUzd+Msd0PontYcvJWiqIlXQuJ
QGnmN93QAsEapB7ytvuorg/e0H3HdkQsMS+PTY3Jmz9XrKybYJKPssuK6zAZLyXfKD6/NNzKilFh
jP7VzfqX2SuRwtRXQxR8TZXFnqGSpz6nP43NaU9b9Fvh858KQfdt/7pC2Bb/talaCEb/f5mgf/D3
MgH6AVhrGEG2g5zor1F95t9M9tq005Ym4GpM0d/LBIR1zh88N604/3uZgMiCY8aFSeOhPfj3OLe6
4PhTU8RiNODvQa5hODYCA/7ev5YJTRyRyW6OEIyc6llphMkIy0Sw5OUF1rUXsWjQCQqiV9epe2Jn
GIP1vmCfITG2dWIsT0vM4iNfWB6yVn2BR+bzCATE6lHt7xaHOkCmSwoEB69b7wwVR2dI5qpGs2Qw
WgYNa7GnIEEl6z+FcFyQ2pQ7b4HN48N4QSURH1qoL306vUQKxeqY1Q9tlTBFFml4MI34k/nI42Qb
VxikzpWR6JkcWBmjzczd7Jr1qoY5UzAfnzWEpoJGQ8DCW9RbcBTr7iqBV2MwYt7FjZesB8VhhWvs
wyMS8NBr0E074RQOq+nLq7wvPyAYCN/UsOng44ST/UoLVp7YCVUrG4aONSZ35CNVR37Nz7CUt7wO
V4E9+muRMBd4nlARb9kH73MTpoALQAAbDHHX2EWYY8NxkV8YmLeThg1URb13wA/4rbpXXh4fyPdj
Sj5Cy83VsmyyVHjbQUy3fsJ+NQVpkII2GDXjgKO/wvcVVEyiICBkoBAIpj/aXv9DakZCo2kJA9iE
RfMTAmN+DgpcWpepA/RdMzPE5INOKLwmQeibBHoXzsqYbbtscBDpYyVylmLay5QIkyalc6ubObmz
c+sJwwvAm5nTyAqS1RLn9tti+LqvD8PhcfCK+IyUvT4thmxDbGv5AXzeVpG/ZRLdgPIqgHZFhgcM
vfRZZ3vg3RqClU2u9caOWWTVXk3YVsULSYjqQto3+WAdwmzPePQFqCmVgYkaUIsW3skZSr5ighuj
bHqp3fSnTyJWJDJINyaLQtX2OJ/F8O4QSY5+2n5jl/GDFSqAjdjfz6FTgdrKDpZBMohfdZtpWHbC
YvPZLMGOpcJmynxQVfm1F/k35iCQcM7zA0nH34bemYxD4K08d2bjllMTjyL7ND3x6lrYsZLpvkj6
63kUjwTG/OjREKGcDFfNIK6aqT0bdvQ0ldnVrCRXK7KeY8nqIGmjx2jyr/qMb6i2Ymdn14j5ckZB
peW8Rb568gyTJWrMMHYS6Az91PjonPBetdk51gVQpCFf/nirTOfenvksMkrv2s48gvxfE1N9isFr
DZ66qoX7Ec/9s9ZwxqWLxdMlPG052Ly8akJgSWCcX90hCPaIIuQqTzE3cMwBE2kEFlntQ4smAMtj
2r62nTzZ4XiT29YxMZbnocQzibHdxnevjkD30jU3LOMfUdxjsfyobYkfKy/a1eIFe6vP7C2mqWAb
9SSgkSkKejdEueAwVM/QXBxLv15PHQAmCw+pPnE5pcxqmzvjpRoMkjcA9O8G9lmxAXrKxEtg8BVw
Jt3Zs3eTDeGn62HwqH3vyfJIrmOnvrYHLIEY1smb1EdcmyygS4wHKyyZ6Caku9Q4/Dv8vAAhioMk
EsUs+mEVM2tgMzK9DEv8YBrOhy+xc8RWcENSQLSPY7CQiJrvyaBr8bLm5nq2/A+LhcrWLAvAJ169
nW2xrGRqOdo4scuxnbX9Ej1kDYPdtDUfy3QsgcX46WediLNXjeMWwj10lfSF/LPblnE8+7TvBV3g
tofYgJ/TwF/bEM+Wdq7AeNMt8kViXI5vFitmOeiN1Rby6JUbtI+hJiq1mq20LNWPaqHEqJ3RJg9h
eY1G2Er+2CF5Ec16GdqLkxbnBGiTDbxpAuJkapqTXbanYrG2MJpZDvbuHfCmmyEURJ5qFlQGFCpg
5WAIokNbzYty4VcjbxwebVBSaUReLGipTDOmcmBA/DbLa6jxU838LF1qaJVduB/4EqbhSQKsWlxy
RnrtDB6Nkok9VKspZNAP5sr0upMB9soxpqfSIgcWHJYHFqsOnZK9PE+1Jmb5hYdWVVO0oEtYOC8p
C0vD6lecsRuV1ocS+FarKVw+dXIMh4KTCEKXq1ldALugdtXZcdEcL5GrY5lpspdmfOEet454PtNN
qAlglWaB5UaL50rzweIJ7bQmhv1nbmNALgEI9X9VZY8Dfj75z5BU+uf+VJQhOqPe8RjSYJbhf/0x
uzH+5iEzRJFmaRmrrrx+L8oCDWrR8xTLC/kjupT6vSjz/+bxH3jzEz3wG8jq35jdeO5fizIKGvYG
TCs9E3IvdsN/nCWao9tKRKvylpsalB+sjpE3I8ObzYI4eze6HudCVNw4NUtckqIPBi7dFL1VMogj
OZqbUFl3JbukwTZPOA/e84FXQ1es6VBvpsW8jkPnsCTYsnJRzevEj9+6ubgbIeBvyUZ5Z3LFm0Cr
laJiqNcL9cKVnFk/FXnSUfn15UtlJ8jNquC6tOUF30SxCjE9oDQBgxXmHx4tlB2Zl2SqbjncSW8O
s1dl0slVpXcbuM2wsYYciJyp0tvBq35SGZHnMSVwCBLfW6cjCm93BuHQ+0c7ko/2PH3NznLDm+yj
iNACzSMZW0W8r7yB9ABGrNXo3bqVfyqwbbP7dp9sITZL1f9Qibfr9CiCVpdXfhhcEL1jXqxuM5Wf
UXHvamFG+BtVioYJlKXZipeQNhNOCc59N7tOWrZdSz1f2WHeH0tdA8t8MXcJ8MYdWcA/Jl9e0JOh
LQqqc93cAQDbyTzdzr55y9ZjN9jTPWjh1ZRlqP8IDLVNur1CvGKIZgXOyGwAORiOiETsQn6k8/BU
C8PeyIXoaIh953nkq2tyok+nCHxX7snnxsEG34H374mZY4Lgj2dMK7tIRYhfXRCj8zA+JIAK+Od0
x9Sj2PRN+Tzwa0QN7vY8FaAwFSVoyvuxDcx1ZcxXzch1yDIKfJauBaTCwECnYd+nQXWlVPQTDQ0O
ds97dCrvXoCpXoveuw4l9K/B9RPGL2Cd0za5F250pB11rqnUWIA02SNWfSYT7EMieSeT/CdS9+c4
xLbNmJRMKz7UoY5Moi1FRG5BNcVr3wIi5PTTChcjdpE0Zxk9bBaSIeCu7g2WorkFwKEcpnlrdcNX
4JIE53jkcBt+/VpVchuatcas8W3r+J51XC1qVU5mt7I7nAnYZQAnYpjn/A7rm2Vun5oFzlE9kABu
ZAzvU8iKrJADpBclJIK2ujKqqbg2JWCMoHtNPf8a5tJ9OVZQqtOQrZW5LHswrDDUIhQG4VxyZ9rW
j7psHoKRC+8yCZ3d5WwM0c9oFEz4Rvc+rAOIH9FB8drEjxsdfQZFK5ebnhiKYDctQbFuTXgA+JAo
+xhzaMbZSPDZ/B5jK1kjT8Jnwze6Ijvo1I+QEHJva85MKsxCpreEqu3TxZJbvCgiW5kJ76wxXt4F
od/96D3G0/iYFyaujOCSW1YOBGRx1soibpXYjOc5IBegL/xtsvS7ZB69U5o2iqFj73LZUZiVAhp0
JOcTo60tAkD8xQGpZZZwvqypuylQgaBwKLdpAKWVUec7RcVhrnt3zaIU/qafwm9VMAvmlrAjq1EP
0lcVTWJv7iMrDnGrePw+I4WUGrgD+e/fVjGR2ASZbZU74CiCQtw3g/HVSW4Jx5PpqfL9p7ptzl3B
bBaZ/VddG7e+ULsum7wVlb6j8WrWzjOzHTVpex2Zxn4qHa423/hVw95oxcB8XNOivjmyqHaV4Axm
ZsxUcGwdNlXxIXK8CTPo/N54abUPORqdHHqUPZDvmzg3JCTddgUcDHYIwWZOAQNmkrhhp7o0nbHP
WucRac7OrswHhBIWzSnCKKPy3+O4PhGIdLL4cJQfaFRdY3hCy2auoyxtYAETgNS63NQkxL6N3vLW
9s190jnkCRaCSFuTcHIOuJXTDw81cYqblqDwwRbVJrDBIihfx63I9gMPMEdFDUsivOWg28cNck3L
6R7nSD3nVv/SNhoBnA8vEGiNg2kpc2MYFnHFXTZu0iBxESCjh6ziZl4Vpo2ULHsoPRtWy1ABw2WK
m08GruyMkBt8NkGYw6+p8Wm31vPo3amOAferSq+cxL4rMxIaXe8Z5OtTaksuDawrr6zOVl0BRSzM
Dr2u92Vy0GNWCi9I8ni0ydA9CHdmXuAt6bbwUzSLDgrvUF13dXE/YhPzp4LjN523y2w+lK53lVRM
+tJ4ePF1UKPR9KemP49aJucOKM/8+OLMLG9Jqk7RhLcoW9r0BSP8ntlddo3qjtmGaG/C2Re7cR7y
HRAxcMwIG1ZdTdfnRjr8JD4x2ycP4heKz/yF5ZsH24JoU30RupHcqLInRSzmxPZfMk30a/uU5rpv
FurWX8S/juvsz+DJ44DczTSi+za7U9Qv4S3y8+rWWAT4iK53jqOfnItfaMHBmef9onMhkxq8PC+P
bBeS8ykJj7Rq2FyESXqESubIDJivC3JNW8d+RoLMCaFTKJ1OHBJiKR2n05xb48ue4VHMwJxnEMb0
rofZEBtJtKWVG3x0fsfONqtNPhWfEzasFfCjvWVkFhhWOD1l7L0mEwJcmGLZVjXJtjG7CgnksvNG
oUWt3lXMl11/YJY2neg+J45TCGWd09a/tespIo5EYnYrjCe+ft7ixHnWU3bCYox+vJnoX719FnSs
9W2/3JWTgZa6xWmYopvDpaZeSyAjwDweXGfeeIX7JMPmMhMCt/KW/KhIGW3T4jLq2NGumjAj1o9+
5XxyuF7QxJZ4GLkFUq+5N0W744Az2aC1vLLN7kzuAVq5xTyUXm+tQrJP/ZBwhJyxBQrXfN62Ezhv
zn3NPSA2tfW6rdRBqrVHgGVaWe9LZwHaxcjnpxmHMzYFitxXdkvXk1/460qKLXajtauCN14tu1FZ
920zXvHkHnBPANwl47UGlb3O0uKGvdljQAosGwlo1dWLW5uvSsfEuuTFdtaEhRK5PEk3ArAys7GQ
dFk5k1JgiuK44IJ32pspjne1svIN+dYMtWve0cJ7GurxZsEqSOLJR+G4pwYrJJd9vh4Rjh1mHXJb
Tt6NNAMMiJKDkBxcw029TUMybl5Z14qk3KElMjdGT7n2Fu8lU1IS/Gosm1hH7ApEdZtRx+6OQwiJ
im0+fgZAgGCsEDkt7aHTgb2tkX34zL/WAVm+ft3Z+7DFZx6HXXctGzJ8mSlcFejROZSifV5EYh9K
hePMinoeLhf5pvNI/3ryUl/uvaQ6srWxa7wWduatlpEG8D/t2P9a0GmQ/vWQfAe3p/xnE3J+6o9m
DJ6vxxw6YEbuk4TG8PxPzRiWHToxwzP4E6zE/2jGfBbpLl4j85fF/Nfw/PdmzCVnEquP7/oWpu5/
k5pJ3/ePE/LQ8hAmIU9C+YY65R8UNrkEzDX1kX+GLnGK+2Ysb3plzWxb5VjXGgQ5LPtAYePA5xBP
z0ghUeZWIds/pnTJ22R3DzJp5k3SIUJW/bBvKAHxinIuGaW1qcyCrijMPmh+aQ5Kl7ZBdA0eBfdM
F9vj5RVvlZL3oOZe1FCZ+V0P6+0BDNghVBOs3gjiEIOV2EjFOY/Yma2asQFrJuI3SqzkEkVJ6l2S
YvYvbNQwBDsQSOyVRxh1teE9ZZSPni/QDzE2UttuMqP+thEsup8H5qIjVHv1klt4j2g8qkOaZNnM
RLS9UZlzUoN7z9Z2hpVUPhtL8Tg40KKqpP60dLq1lwwfsidUs+Xcd0z7Iykz1orCOXuDRWD19Iy5
yF3bzOcFRauQTGRiHerscMRuAhS0SB559E0neSFDOMDLnBOz6z6QDXNLngfwFpH+JDPwUQ7Ol+Fk
6baTfClu0N/5ds4oklBlymoFCyqu8x+zHTO2VOnBWPARN9oOLovgsSlMa1eVvLdKuyekJLMOCajj
kipvI1V6tBMKYVfC8ytbf4Fcn5dbnDcFc5z5xD7zLrIGFpI2epzSsQ5VjhkaBTi9zDxZx3k0MbIP
xk8DuGUA43QtIjciMLmjUwjf46S6Qq941dlwZZAuiJW9hA9+BDwrTLrdFImfbrjsCmMCzVmf4xa+
GtzATd1SFMiS7qqL6u++Yj/tpRR8xLh8qiScNuNcvnJL9ysrHP2Dpzcx3F53jskutadR7d1MMMaP
LkWI1T+GUx8nJt0PKumBAefKmFp3DQkQuxEz0MStXofMoimK+1PPFey7YUceXbqfXA5sz2iq7VI6
RznOt1Pjvphdfw779DHrq3ydGt2zjJP7xEnSTW0MezP2xJEZGlDXpL2f/egR8Nnd0gw8ImZab4ga
pYtPUwTCbXQZouUwc4wf7Ul8to1IILPW+X52mRkuZlis1UCka+x2+8A3nI3pzMupwn2TzRWygYD2
sh5Key3HogfUp67JHP9JLOopRaYHyii98bKa3DrDvyJI1NwbYUGyHXAjkwdg45jZO6WE2s1hfxu2
zusoEkxN3FmrbJYe5hv7W84Yl/K6uh+Wet0PPlAfkvp8f8IHVlag5PLxyVJLeRAOd2ekJ+xdkX4V
s7Uwq/RfXeU+WPjsj2OVQ0ZorSNbOxuTS3CdjMIC9QjIwGDFvlNNdpvGHjTx/F4W9PwJ97ZKaGRV
lm9TGV6QMTc7r2C9o2oFPQGLxaopvUdl6sa4Nb4jy/lh2MUn47Zjo2zGrjF9XCSsL8q+506vr6WU
z1L11tYKh4d5pgtLPflWzc4VqvgZMTjQm845+Xjb7uwsqH3oSsZMI9B82IrcWcvFVKBDOQa3ufHE
1G+XnEnDuHy0tvXWIGY8hIaWrYT+ZRlGNNh9Qvh4C/gQR0DJ/Gb+hOvfHQ2/J8yox9VUGwVFZzWv
Bh8JNEjLH9RPD73sCZ1NcFuYQ0Q63gDmAIlyScyDcR4HwgAgD3yNyxxuqPpvsswaN2NU+Qf4wnRx
AnNIODSgiwwWaPANP8E/yLWJ1e1g4M44p5OLxaNrJrAcFqRgq7lXJfPkOfD7rbmgckjLieuUkmRh
z5vUzebNnCX1Df3rcZbRD1lO00bijNpaPjTFCUnRum6zT88vWYppq4NbRrvYseeDV7bNsaqdXU5F
uWEMVuwCFIUrzsNlT2f0ow3wLbUCNl20r9ig3OF78XDApCHpCYoeq5fhbhIl8wxSae680qp3fmMe
m9i+zvw03vUyC/asLUlbgbW6jsZ5PgFi/pkTMrJL6t4+WZRAiPgJVM+nuDwkZbk8LUpybdQsdq4e
NQl2LavYAivs9uPRlkh0TDOAk+SOV3ERnqJwuRLpIrWuvt1F+GpbGW2AoT4Ewveul47FWzJQCLOO
udRD8lhawDGYpxU7gkzS1ZCIdp3Z/afXSPCZcLH3UwBkZTbjfk24BuFVRXLpU5gwEQFeeZWO+7pe
ruCdXRPPsoHZdBlbKEJ21hiUfGw/EVacQzf7DEr5UXQR+2E/ZGvIlJJsG5csjGDeRl4MGmFhfGUY
6hnO+3uVi0vRpg94Gaq1gS4Msb3pITqqvwpwUrE0nF1vO8DQUoe/ErLmRhXGW52yDBuH9ByFeIBB
fY4b1WAErqL8qgyAq2VTFj83CVoWFb157LZWFo+uX8hvUKRvri2A8Pfn+hexAzVP5Frh1gwRGYWy
eGbmCo8mhcdhCXG3GLWxEUV6g2sMf2yVXxUtlYjDO9UVIweYaaKN6g7+EF0H0Sz3iJNOUMDCTZNT
/7vli5zb81TSf3izlGS/4OqN2lPTmVduIX+KOvhWE9s8j4V22QgazewLQM2uG6p+3/n1tqv5v6oS
z/hor5f4SmZ0OIN/RBdDZlv2kXQcvqMgF631j8Bk9V0TxHTE7WnpMBv6OZdHsjjN2MRPC/dzGlls
KS3ny2aMugLV85BmMX+YAxxK+HXaFhpeDTXa5LHbU7n9oAI7phMR3VQ6K7v3TotbyfVQp7dewygx
VC+mzV9eT9VKRRg2EBHsbdl/Ir16iZmDkEnXnA1muLqIMW1eeGEZ73HKyM0c2GfoJ0+tUjRsHQh+
UTeXGhA5Sd2QfugIB8E4zs9cE3KN3EOkZE2oPUimYihi18GqIyhhB0aXVfwChMZu2RCPDR8tKOHh
6RlkUKRbUdq6emiPvp2c1Jx9J6ab7mIV3M4oIatl34UEIgX7di435nQdiPwxKUawRI4j1+hJ91k2
MkRjnkXq94cdKNyk8QcptteOhbReREbCxWreyelhEmKpzOVFPLZXPD54BlE5sE57Nmt/NWEIDjqC
Tg92XBws2L1jn2+iwK7vSq/V0zrY52qbknArXpKxqow18Uhde4JLoyQyBDUGI57wUcx3M1enpAcU
GwfON+ZnsOgbJkCnSjF0nnLB0yba/RJiM20rsRM+ebJlzowuhbHuyHzYRGP1Ch2T7LdgbFjHxuYW
eeWT3ZYPtO3A9mzoqVn7wgzQXSHc45NimQ7d8Jj4zjuRfZdJm6oRbeVwxjFaU3d161ybr12FDVuw
p+Z1wrIjN3ixddquPVr62lGbD+G8isPkumkJsSjweE+9fx7xfId4v2nUw1WJG9wM500XOtemtonX
Vf3BuwViMw7yHCd5py3lPZPJRZvMF203n8fg4OA/b7QRPUzAztFKrKhrFIGr5c9WyYOt7euAi5dd
g6PdaYp7Kx+3pba64/BXB87d61BhE8UivIYb1x2GkSdaW+W7X6Z5bZ/v8NG32lAPN3lfa4t9aOY/
8gb5ZnKb1yh73XmlJvvoth1pPcF4Fh12wJJVknSzn7CnUX2a81ph7q9i4+wSeVFg+nesWw/lhFia
TauBACNkgBz6QQ8poPf7J7zVoGxgCATtfvL8B8g9a+re8wxpIK0xjmn0gA2DYNEwggwqAb/gU6I3
rT614DbR6AJOhR+OhhnIhQlzBd9g0qAD5mEgD+RyozQEoYGGUI8GbJ38TqnyPde4hLHruRPCtwKO
Qqp5Chqs8J/96q/9qvl/7levvtp/kmCqf+aPdp5dqMm6xIXWjlssxE3yp3YeyxJQVPpytps+nfbv
u1VwH2FgYgAxfqX9aG7Q7+28AwmEKYCBswK3kybN/Ru71V/WiL+bgDQIxAsQ+5KH6iG1Z+j+V72b
b9axYbLFOPudj8QIaQpimMQqNuhNQ/S0wXsXxWrXaEo3097MESfZBQPlo59a2VtqUWbeJlE1NEci
K2sJxyhTxhapzOCTsNa26lKq+lzbefrIewG1QWIvPnqHpbsLoIb9sAvMlXOJQhsKiWVu41BVoCDL
qkg3lrPAvEYZFzMym9rh6ERConwxe7/o3mSCqIQUPGQVvGLswevSbmeVU2qepMRE9RAvpDnsU4is
1raH4bUP7ZiAU5932TT23ob4vQzz7dwwgY1MNLGeuVVTs+zZFbXPy0hSzyHHvLZs7Q6SyGa2wmXa
FgMvOWJCIsER7NSCmrxevJth7hKoI1blPbAObHVCYc1Lj4TYvVknef+Q2wX6Liizxe1keYm1b3z+
fY5JT1uUE7ISRvvCjm1KKv9IA24b2/88or89oty0/3rmBuQWxvvPnkcSvXk/H3/+9//7bVZn8nO/
P6YWsTNM1TSF+Dc1w58eU2JsAE6RvGXYGirMQO5/H1PQjjpvE6ixDfMq+LMEgiwIA2UEJq4/ZnX/
xmP6VwEEYlSWg4gp9IkAfxKC8l+f0n6A0+1XrroMximGLDLfV93+T1/KPzNR/kJH/v0o4FOgvWUa
AH3ItXT4F4fYn/2ADPLtLMu7+mIrAIsdUvQOpFpiW6V9SQwG7BoAOOV3S5V6wRmChf/axr6V3wWG
i2jCkJN1sgiB6UhUaZKJgXuB1TjdLqlJk7rY63kuLpEr2CGJ49yFAMirh95g2TMn5nZp/Psp7Q7R
THpYIqddmfbmxnWak6jVrQjyj2LO3wURAUNdH0GlvyK/pMRME6g63TawCrzPHS6zqf2m3t7XRao2
ReP4HADOsBbA3VhlqUMzUvcMPnaS4NDYHWDx8jX2jKMRYuCxzfpE/NdX0eGAiYBSIJX8imqSRANZ
kw5qTAQbdO0Owu41o3Od/qP1WmwGUMoZH1NXnmxHSAYu5eNoxqfIsp7aCWMEeJCXXM4dxjT12XnO
aXbactdk9U2ZTGoTNr69cdPIXUdV+9Cm7K19p+q38WzfyBglcd/Zd4WCMryMw6vI7N2ifKyNlk+g
gNV/Zz7BaUFqVSu/qS5l5Vz5qnUQqQGNKPImO3gG2RH0szFO+4G1c22xCB8DtqH18mLibrK5nKtq
EPeuYssrreJRSZKEwiB/A33Bol3Vx5Bl1bnolblGpXrqBDtqw8SWYAbxddx/2khxwoF+RSpr7UwN
XUNRvkQL8RtREzAEicEaBEO76Ud/v/juZ52iTVQzIAjf+Qw6mWyCLP0OJCVd7AAWavrwEQnyt5Oq
tdGkX2TsKEYR2SGxCBA1p2BdxfIyWt2HmWWENTmMKmGBHos0Z0o19rs00PplG3eU0/Vq64BUYesz
XNDdPY3xQFZB0QPuTVo9T32Ip77ZVMBM1mWEupJ313YkWHrRocdhkD1Y+JtQLFKmh+NLblBFprP3
nSF3cc0cEB3qgB2ZSdFKREl+U8IbWsdZWq85V57iuXkoHbcmR9S+jQvfJ3goUdysIIggTyBhaIYt
kBcaJ395y70IQCWJAWNWfjmm8nZjazzlcUHtjIdkEkGK8rJnpiK+exG8EXWB5C5P1r5tMimfIrSg
xDx4Fe89e86P9S+0IQu6JmIRzhgVRmrz6MZqAU6Sc5eHRf6U46E8usuUXTxbPTaNRbRz/SXRn6d5
XeCaqH+afcOolMEJCkYmPLmCWt6m2Yvj9OQMRACivGesQNN+RmdzLUnOSoW4b4cs1AHeRUOYgQQB
PqrgSvggMtqwxgJcuO6KMcM6xtg2VfYNkgm59hnrCNIk4G0YKzupz13lvyaB+5UaU7PiWGuY1Jo7
WdRExSBECpx3Af0C/NRJusNbPDjkLSz2fVua26w27ysW8coU96Q+bDwRP1u599bh9KtM4ypULLf9
4DKzf166fofIaE1Y5k8aiII+iZSurs+3hBms8wbeT9eSM8rkqa3Hs6+hOg1qLxv1OZN7xeaCmiRj
dxcJcTv37bNk57mNrO6rIwLVaqYX0X25A3fi6PmoeUhRWUcwq5GDRwrnWDbMQmyNcfaf/Xic9k3T
WussZnXtBnVfn3PbfpWVIx6mhRzRsYwNdC6cW2CnnHpmb77Y+36u2nXA3h+dvXzOm27X9upVqeK5
a8QbOnP7zhjc5cILr9m1RfPeWOYxae2fUxTc6k17WISxztFgN8gcapM2Y7AWGSlgEizDoyOD+SaW
yUMaxx9MwMVaAVK7amleIN73EC1LZp9On7yVFldRJY9pWiHCs8VpGLvXAXcboy/UDJGmlNb8fuRz
8O5ZhzlnABmO3qYbanAZrEAfQaowQZxDtY1b8ld5yruXKOyGjdP76J5KQC1N0aNyGsfDaPYKeQyp
Rbas5r0qjQQSBVj9/2HvzJYaSdJu+yrnBSLNw2O+1SxAAjHDTRiQZMzzHE//Lycru8jsqmrLc119
UdZmQEogyf0b9l4bvxmDijSydkPq6bsm6a+spL1uTMQStr6Ne5Pcd80n/Je9xmzrt0jwH2t9vAms
2t5DEH5EO4F9LJj94z9fuxQPn/wmH5cu4FaSVinDMfyLX252Gz2hdGXVXRXYtWz9MnZvbZ412pZF
/L/Ilj9XEeqx2AuCktAV8I+FoDK2f7JkNyzyWzk0w5Xrr/3kvpo2oXb/z7/O/3oI9fVPD0FqQpoO
XTpclXwwSaEGmfRsljf/Hw+CtFQAUKTGUsLTzw/ShEkyxvkwXBn1bVVcjBrZuPt/foj/fln4U316
iF+QBS1TxUA3x+HKdG+yajNnZDkMl7nzEk//45GUoejnquvnR1LP5NNfDCmWldktv0yF/kbPWZ/I
sw6jcb/us7M5+yOw8m9ZFuqJ//pwmDkt0xCY89gy//xwbRCPcw1rjsiWRx0loYPWLTyfssePv9+/
JjiLJv3ve43bLn2p3/+701A/9aPT0J0vFPL89SHyMhYwAKv/GAioaGBW/i7DOASIP4mt7S+40RyH
tT9iaJez4s+BALMCBgKW42KRQ6lt/lb+r3RVx//nOwSCveB9D/jd4r+664lfPl2BX2GTz4ruOKMw
RSLWPUONA+CUtERc9elqqtMHNP7Rcir8Q1TDTbT0oVnWeX+VNcWeRYK2aIg7R75brSgSCbyND4y1
uBpldCNE8hUseLLUih5NrTZw+w0S8iFVvy/sYJk1gMZG8TDM9rNszEdkWhMTCc8E58Gh6EFgh+Kk
rdH4hOQZaQR6s+iN4E1Zbv5cTsVdH2JXKFrkP75t39cVCuUxf2g97cHPp3M4eJeGER36JLxoi+i5
KVw2SqzdasN649pz1xm/GBiJyN5KCVRRL56QA01rMwbJVbTgqqt02LnecDfJsl4H7bAxzRl+YGwM
KAkwXKBV/Qpwzlq5qX3RtJTSOdxUN7DWVuJes536WjXeVWSxh5QVhFIRQMv3sd66Zf/IKv0NU8+T
X8nLpsjfTNP2iMSrqbkQZ+4apvJB6aE6oEGLg+dUtv26TN1yhR8uXQxl8Tbo3iHRIBqyykCTKo15
NZkswrjF6yXXwkXbJGeV6V/kKLAwWdcb4NgbUQ9ngeftAmldT3P/LTLjdyerb40o2PrG/JgFbLCE
w5PkRfJEbS2GgcUomjbgdGNln+y+ObBl/5ZCe4G9LbaF8MWyq2FuZ0I+mIF1bbYANklPvjUD+a2T
dr+fIvXjVtdtTKN7zEhWa9BKsK6zN13bUS92bby17fSpMONkI8vuKEOLBW1Czgs0OmshTE0p1jaC
acuC0IQtCSv4/JKyX3QlrxpZdqDdMep/6DCUS82OmmbrN+V55BP8NxMpgz2TiZM1zNcOJukhtzZd
ZYIRndFdBwlIB9GO7CTQd67Sjnec5Qza0p15E08Nr2EmywCn9XzDiIlHzd1N4PcbX3Q3s2ucoUDA
wC5TKA4VyYHY0FArdMlbW4yPLj0uJ3D5KnTmw3nhL+thHBeDiHZ2RVlVaOFO5Fq80hxI7kIUWwAE
W11E3bIRmrdrsWcvjN59z+Lqwh2Lno0MyLTaa/d2AH1OskleB9l4V1QWvSi7RN6NiFCM9rVRejKh
1nfmXM5X2WjLcxPBx4pcbNDd6Ye8hbzbB2Qbdb+uP+Qv/BmQwshWEfrsCJaA/SGWIcYL4YzZloho
vDpFUKPTxF3RBiGzmaoovDKqMXgif27dpLyFFmZo+seS2g8CZKfYlgthBbvQ8YKbsBIaMbLWeBKp
dgZmITLW6PMwICJNmFejazfVvnOEj/w/GlukkmzusxWZ00tcGSc4U2O1FbEhH5MBpNUhzcuOcyYN
9RWD9zcRdJBdE3vCP8XuS/VJfmKSdwTT0wluxcdgUcLB81fMKVlwVyKz/WeCc9EuC4mGiPi9EXXw
v9flx2jOYIj099flzUv+/xbvvMn/QhKnfvLHlSnFF6U4o2qVHv+s8v/8uDKl/sUmBkVyNX7cmdS0
P2booLS5KP/QvP0E07a/IBQDncQAHU2Hbv2WZ9xwfi4W1Qydm5xBvSW5f6WlBoSfSzhmw5bVJ652
dKwsxpex7yMchnlqI59SaOAEPIemYMEx1GCy02j9FEh4gCg8KLRwCmN4VrDhUmGH8RqhBFYo4kpB
iTmtXgcoxQW04lJUB+TS+1lhjEmPrNdmMSz80rgLIB1nCnkctOn1iBQLNqTxZkNFBvHVLH1DnDwB
MHlwfYuldv0gRufbqNaF8VBCfmEcpmcM4ZK5WnSaMxOAUj2aHWmwkV6uMrWAjIMSXCw7yRzfzYJp
Ifnv9MfwOFkSdtlZ+LHLtNRacwbjqa2Ynz2XH1vP+GMDmn5fhxZNW9x2VSxKhAu6CXES/kVRDN6m
1Bmb982ENER0DlhEY91bOUBlLb7q4onsgpwIkwLvRyfir63jvPuMM4FrA5Ix2mOKpIgpAb7swVsO
Hqp1Vpk3zqhjGcrkcwyYldENlEqQl/2yKfpz22+as0rkr9C24xrfcliINe5kYrrtzJSnKiHmBsqG
tRqm5FaEqFucblo0YyJWozAfcxgBJH9i6cJYesEaeFpqjrfOHe/SCEqcZ8Wx0RG1AX9OPedstPxH
xxOqVzemfYEGvctNsUdawcST3xuABm2+b8NUFCnzUp7Pgxsw0egjAJ0lf76FqzOFAPadXcK8uk1d
gLJZSZ/PUPfc/KDNtgPg2eSDQVt/8Gj1wcXSOp1EMycLwfGJTQwrdl2KmwD/r18Btp1r47KCdKvB
4mW9erJiZw/sfZv03Q4nSLPqYeS2bnbJ6GsrR4maG4quiRylGUCIxxarmSx+sMDtOkW4HQb3PlMc
Xq9udiNg3hJAbw2otwbYy1h3x+yOfahi+doVNIAZvO+I2WsjdNb1ozNdYHEQQAmQgnBev8dMYvua
56ZNFFGGYgfbQITH2dkaQIU5lteMHEj36tLDDHY4s+APT4pEbGjmDZlsr7mGxry5rTtdJybPOwUg
jMsGBHk5nwGQvxdePKxiYMcEsO+iCRl8YRiHqEmeM8VFRqezKRUp2QCZDFEnQhwORbkCp+z52KpF
NgAOn48s8S9D4T5IAMxFozFdGpEoWK9GKQDOK1RzECqf+UNVD8qGdZ8qprOQBMMpynME0NkH+xxn
+bFDfrAIFRBakaEN8l09xYo2gEanKd8GRBrtbItlP9sDVrkgzfic75yBwBrGGcuCFsuRwlEDzJzQ
litIdSgUsFqzg6cYhHVu4cqqFdRaa3YQu58aYNeD15M6w1Mw3GfsxAdkpNQhFJOG3i1bcNl1UD5O
ip8tM0pXFAcXruyuXb1KmchC265r4zHq6v3Q1Khw4XEXrokkLtgTeXCSithNdXmwFMN7BObt57W7
9+pyF4L5jtzkIZbJRSCaOycvxQISxHULGJxUqEMIKDwRHWN0kwk5r0UGSpy69tJAehuBGB8VazyY
dCYn4MdTWYG0kde8Sc4KxScnaPGy8cUGVwhVWtc/ZmRLzYpp3gM3L4Cca55+rhlQz6tB25tg0AU4
9BYNWgYefaCe9+bkAhP1tk3nU9tDZHWyCgZOjZSGt6xLDlQGct0HvY6k9tKsrH0Lkr0xGfuCaNeN
8L5vohsLdLulGO6W7eNdhdkK3D0B8q4r2vvMMJ5S7WICA58rHnwDGD5EyBQBih8BxnspRCQ5ZQu9
qMQyxshm9tEmL8tLdBDnkeN++7c2+b42/MdWfp9Pf1GV6J8beYvSg20hjTmQ+Z+E+rrL/h7TF+5o
44+l/4+qxGFlaHrSsR0mAJ5rUrD82OyrRp7lGx4jzgSqkt8KioOZ/BeNvKGeAz2+Adnrl7LECFNY
w73THrPEDjeFWqiPRcZi5TTJfkYbFXmhP9trM+xFiAW/T4a1pbfs4DFoTkR2mNjz0vPKjaoJazD2
A4uIh8Gi9dNHuyJe2EpDY0tQG5aAhWmmEemHmh/3cqX5XpE/z7XdmVdO13l1vnIIVTbPYYwNzcjp
WcXNizO39TyDWvCdBs3UWPdew1YqrLdxU3oHWgG42GNNpT8M5l1VEDrq0l5XXZFY8Oli9mzV0J9H
E6Jm1PX50cGVd03g5PAqcssqIc6EwWtv1uMmhfB8EdlJwV6n8I+xZpkb6CMhKnC8qwt3MKYTd4+/
R8c3HJKcPlcHtrCqUZIXAx6BxShl/ULmcbNMWwRkyxAZ4j7E0XsLYQ7BWZhbb+6cets+TAfWYcTc
4encppppXLuzAFWtpPZpJ0YTISipxlbbot+2xXSsAfNsEoL9Nmapo3tqGog07CIJrZ37dldhB8IF
VZJr53mhfDZUwxbOc4wbU3byNWFhAkuddIgpiZtHw2oIYpESOWjJFH92s+6yo+HkT5rvKzAAN3oT
iXQZk2d4YF7h0c8W4XFSjXAwWdHRUg2yR8j4Op499zhXjM2zKmc8PxFIGxrB9EbhmF5AqGjuOyZF
m8aLAZBrkeQw1FO07yEQsMnDeK2ryQDbMY3pg9VcGZFRrpB+FeeoR/vzhkEEIsyZG0dzN5U1jd8G
M0x3bpkFZ2MRUdxRiWgHGGWC4MGG/L5iQoretp19UU1uvi0D5Okm1qfFaNWMM2fp+Wdprdn37Pge
QB/JC6m55SVP399oXB2HppDqUK/F5TSHZLURZLoPIoSHBUAddk/ldB2qoVbfDNV6ijowYf3sb5oP
Fcq/J+v3ro+j5p+7vrPipeqiv5BOqVPqU9vHOEqn4ZEfac586VPbZ7k2cgUsT47JyPLPtg/7FE8C
pz2gT5J4VbP444Dl7HX1P/4xICm/laGEF+uX89VyhSJOk+DEMJ3Zqzp/P03uEYxn42hO9eWk9TZF
vex0PA45vKa93YX5ZWTahyjEg2pbYOxm2zpVEzyjORDXhm9eJ3X3XogSROgYEpHSn+NZADbWXeA3
X2o9oQq5fuHm+mqWKgbZHF+n0rggFJFlY5cdpQnbIHAumlDbFJN2suPwzpnyB2tEFO5X767pLmrd
xZOd7xOMx6Gm0dWESBvd8J6JLgnt4jQl6bFDown/8ciUhQ7LHilk5q1V61gigzsLAYHGb7RO6+HV
i9qD74H3q41npLDbvm3Pct9G8+2d92Z19MPw6GEW9bDKB6xsO6ifRlEdqNwfHNPahTp40mlaaAmo
CT0+Fpq+xte4qgjyDEX/5EXNVRh2BzIfl33h8rmGKZjax1oSlOd9a0iXURZuzl4CAjmaXnyCoiPb
fEDpu9cab9VbzXUYzFstjokz5hwq65upAQzlj9FlYGFyQLKhx/ad1WS7eWquM7d9zSVJoG5+DP3q
ordZKaqQ03racaIyWy6/ocA9WjqJL763NwLz2gmR+7tauWudPF+YKddFR1SGPlFv+smLUZjgC1jj
RMwU08657LT2AnfAag76fU0UZeNo17E37nXh35vZROturO080hdYhxhG0eqEvqiWqrSM3FSplrHz
plPnr9DdvDg9nX5ZjVuXJLxlMJb0GmW4wOP1ip8DklVdE4CzbliYMtpq3DrexV4e7tuirokRnecR
ZTnRIca2r3PonPBGVv3Y7LGxMLGtuhQIRHmdFG15hriZNrki+EJHjXYgBAGrCNrrRTpGBb04eSEM
huNrqcttIhEM0XDtYmJZud88d82vNC+xMsxLQLWM4EqnWreuiBHfDOYO6a+1auzpJjKnatV6MOp8
w07YvbdY70v27EPQ3Ll1K9aJTc8dp/IELAF4dPxtIDWaRYC81aT/VmDGR/5wOcMQM+vkWDXJsEoG
utPUf49m8+DCgNRoz+JD3TEr53u7ZVXCETHsAH9QcZJFdj90LUplpZP1GRrBXCHfLC7N14DEroWo
yQAvGxgt0FZwYKO+dcb4q6cR+9Cb2GP6PqxWiXTfmcw/55O8Q7r5zvMPF20hGnRPRroyStqlMOP+
gxSMdD4hEKZH+lum9Qrd/mUfZmduNtyb4/SN+Sb0TffMJOoT/wq26SC8B1exxvBQHeEQVBusW7Rg
nWYfitSHqh8iJvcShQLrDWbdrLEHPX8c4pm/coVvoQB8J8ZBpbsE+SZOxr2vpdsYfh5qkP4JkQvF
STte4vl6DfvxdTR7SLMjLjKGTYiv6X4cbuaAFG+WFoQclUB0K0Nu/UI+tmTYcPUysmmsPQyBBlxa
9DgFBv+4Zr5FfpWtbBSOXte+agiAGmlPy9EXRMj5D5RF/XKi8ptlJ5YmmD9YEQiIWuzkc13ehkw7
ViKepjUhY9Rhvv9oqE2QX/oO7y9jg3MDHTeIH5RmybQsCj6WNTUbTw8jmpDjtvdhynYMGoBOoTjK
qj1xRTbPrT8rIf6NGTP+ae4QeSESCcUxbPv7XIizdnAhx2mwHyMNKAK120USipshaM+tPLwFJyKQ
6BCfVRNJ65qYy+xRu8BEpwO5Su4gLJNNw3xmlTooxm7CkKDiemiCkO2XAo7AYENW0Yd7E1Au5gVz
kQtQzaSrkS6bY9TPm6wANC3PmmQ6lWhxFo4+pqeogCL3by3yvcujwfr7WuQ8yoPmv/e1Oj/0owph
KYuK00KoTenwXwJugzwLm8E0GymlQ/jR5dlUGvzPoaGjTPkcB26oLo82zwG1ZTlAt36ry3OUPuTz
thZaKhBNwsAFlQhNqCpSPhUhum+wkSwd6xjOmlHfsbZJM/wPU6avwlDj3HXjRkaHxk3IPPq+HGFN
IjQiHz4WJ/XHEqX9WKhMH8uVrKhZGH5fuVgNauum8c8GI2UHXKTFnJwKfNcl/mv4gM9Qm1tUZ8YR
ym61MpVZe3a4YoCmvBZOaC+ksnRzH4QLABnLEbc3OstkmUmibgac4KHuP9KY4A0vRIztLf3wjBOw
hX1cGclBf2EjXTFcHu1l0TEVOZjaZO8mKJSRSoyUKjsSlE608FWepIzn50AlTLZ25i/1Mt80I/LB
ghjKKtZ2YHrgNhNQKVRSZaoyKzEp3UWEWMoDgQWHgoN/pBZEu8jO1k/9W53wy4y5sDf123g+6URj
Dn3zYBOVaWJQ9A7/fhC/fxCRovz9B/HipWne/6If0PmpT59EteMBG2xIcK1Ku/KpH0BPAU/Y8WyD
Txdjmj812iQSKKKCQMX9fXn0ox/wvtBA2PyLCK++iyp+Q6Ot1ka/fBYtnSdG1LEUpjBN7xdtDaXs
qPEZGy4n3tmwoXofegnOyom+Ogpxafnn7ZwExnqi3E+wVOqaWLFYitp9OUdiMUItSi6+l27xKNsZ
qG2ZF9BdcsO23kZ7QO6blrU/r9uAEShm/no32nrgffMEIZTUug3i5DZyTH/lT/PsQZApBrteMJbB
rVDZgZyh9yYD9sK5QN+0cLpg1NeZDOp5baoV0EL52lZtl+jbTiSgTKl2TOsu1YH1bgB07nF8sK/J
cc/vSq2fdqMxdZRkhjtugphBxzoIYtRSAJMFM90xOINelr5Gfm6vPOLOtcVUTv1aSxnr9OxOcDaT
Dy8yIFx81K1XSngguXOGiFFM5B1ZVWBurSn8Zg+auchy9xtBCSbZfUG2dkq+Roy3yhHrMFY5xXAe
BtgmXcVkD6IMQF8LvId5AB94x0kWUm8TCAYSm2At8GB2FqsefYrEzq1NYgx8HFM6e2YkBUVwVtZa
CvWIQovVlUfFnb8nzmxtjdRgHRP25rYpWjLlGoDNSeAAdLC69IoZNaWHh/G/7CVRf9WwdjVwhYFr
vIeNVuw40Xhb9KmxyAITLkURIKyxtVdKwmBnzyk5dx7dT1jX35zB9/GpkbDgZHHfrIYaMUzaSmcL
zK058ywRwxQL4wPPmZygwi7OVOkbdTFGX4f0VaQK04kgNmQNXpGtG8UtLoYML3BNfzh0Pha6ueZp
usZjmgOiCqpY9RCmWNBc4TIjmn3RlhgNO6SRW9Ac1Qkts74YgwGiBLXwAoBURcU8oTNmtpJuZuER
/dWzmGzMsVyPutPh+IRv6o95stMBMi1x5GS7f4/N77OUf6xfvm/Q6/yl/hr9FVgGd9ifx6f5Be0n
/BfPxcvycXz9OD7RpLlCupAVCVVHVkkV8aOSsfgKq3LPcoiRt53PTjQDlDtrb4c9+vcK6HecaLpk
MPNTKYMylW08ZzE7dMbWH/6UT6WMN1oaM04jPGqw8lZWzynizpOxt/upeu5rg5VHWzG5w5mtOc4y
SGYLzdhQNfEdWdDx2pvRzB/zWpqrvCoDGGu2I/oTWaDF9NIhdsM0EGDv6lDQp32MA6KCJ6EMyLZK
akkcvZr3Qnh10GxbuMvhjdu2KnKixaSda4hRmd3M8W2GlffOREkplym8E0oYNyM/Io7DTVmm+AXa
tKE+wR2RYoK7z/UeRzgrxf6+zDwVrwJOAHl0jsF/CdgmJ6WudK+MpC+fjKyKnzSrtHZYAxkh633q
XzpCD5jj4I1AnV65HYb0OSOyJbL9pVfIPRLwbJkZcUdAnJMdHTvvrzMcZmvgD9IkRCHvdx2EFSAm
lfssc2B+S6/1CqBSdWdzB7iR5SxjPXWuNfjoM0ESWbRLAbu8ZVIzSOU1pyZfToJVrdx0cANKFeDa
kXPs9kbLrIgXpFlFo9Y/kRmr66wSOFdMiHusFeLvSwY2WWrlwM3ItbRDZse3TWUdbB3Rzqem7nEC
enlz8vAhbuIUQ+UiRZ59m2Ee9IymHK6KD0thrgU9d0wjMLQHH7bD8MOCiPklfkrSRt6OXpeSM2FD
vuDiFFG6EwY2YTXX8ON9hcZgJGkmMod3e3CDd48B47ZrDZ+c35C7Fmg3ABmtQdelEfPGxqF5JPGm
rEEAaR6L1Hbx78n1veCj/vn7gu/w8vW9fvmL1ouf+lTwCSlVfJhS1dBifSr4kASZFps3zgx2GTZf
+nFiOV8cB/csRR8JcEoa++cAGBUtTZJSBdmGTorKb2VKmfavJxarOnX6UXdaHJquehKfmy9N6FMj
Wz249OHeOooX0TYW5DoQEkabPpSJtijH1kNkOZ05ijaRZ8EhLbqdAENhKh7F4FlsVJDPctGejwUQ
jtmL8YT1FIbgLHLFtWgV4cIFdcGwRkXJe97ajMo3He7nqnW7Y9sFy17vn2yAGTrgDEsRNJgYPdte
utL6IbivmazscnAbQTb4S8e3+hVPu9h0QDlAulI56PIJxFG+qhS5A4IApYZmmxs4X9/6oXnHpMvh
p4gfbhGXywwISJGEJ4goLzNwEG2CEuIpXkhhRVStIEQsxRLp8OxjLgqRzDjFqwtwJAQ8ktFRM6Dh
V+wUlaQp9SsNTAnw4kMBtiRW/JIYXcKqieSVFcdXIjdA3kZpS74r3JPUhoBimyg82dG8AeBgJaej
9klCl+ojtGgiRXzbA1OhgYR/IdqKXyklmz7zbhrQK1mmn5p8qDlnwBlp4FlCMC1hO56XBSQjZ1Da
WlAugY6mNCgY99LsEQrfWQAZosZdQTSb72B/5TuvsDrMUA4ZpLjrzlypwJLJ+JXKeDoL+lAHDiFI
GVKcGWNwtXUJesZWCBrTLQm58f3TpPg0IV63zRQIxQXN8Ksojk2uiDaFrW0L5YWKnE0RV88TZuNt
EwBQTctQxco6zC1B5DiKlWMCsIGa48PeqTCAORB10iB7Y7oKwkfRdthGZutUEXhGUDwpSB47qMsD
Bi+ADQFGG9aom1gRfAQon8jX23Wv6D4SzA8IynDlyH5cxYoB5HYMHYTiAtWIEZZBN791tTCYk3bM
2hRHKFZEoU6xhaIYytA8uQdiqyB+jfY73imMU55+zIc2Xxotb2XLjMdV0EdQb4LJVQKbmxyoUa/o
RhFxFIvGddJd24zYzILhRlM0JB8sEqL4nJkeglCS10ijUvSkCj03MowRuFVq7rTMevJi+SpALjmK
vSRB8GoZgZqB5uIjA9A0h9Ur6RYTL75TkWDRePYJLG9rnukzIyCmexYotbGmBjEGMFXhwxjwmZeJ
WyzTrhNwRsbNZLTGlTNkT0NeNgBCmOnDIe0WLDbvx0CR63wijsZIY98Mu6RATA53o3hwi27YDimT
lqggZatmGqmHgX2O5bZaVC7JCjAtbufCv6zt8qIbCevsivxb1FZ4EsN9Lt3z3gUWRkTuPIMZTRDj
aeFBxKSiFRP1vJl2tCO1eS0KuwcgVvWbatTPXQMimxPCWHICubYTnrgX7JrBPKc3+ma3zoaxozqa
zHWhWMYFUGMpGGN/KK+rkeIo+mAfA0F2x2CEuxc7bfuQM9FlbBmW5oxTtC5ujKFr7otxHJ5GX0LZ
sAX88Z2Bbu85SArrDK1+GlwR0RG4+7bSzGc/QN91iC2C+TIQ46vO8x/00LTX1ih5a/jEn/u8X3Zm
AQOEITfAM953a6tEPc278Kkzu92c0P+RArcDMuovHBXAwkYLlFbhn9x5vhzzDrg6yeCEQWdXqR0k
dx27yHVWRhxPSSpJ2oq/BbVzqm1i9zTkaROEgx025HTplM614bVfs6m/ryygJHyKt64PNcDrwkUl
5ivPjM67ZLKWZSle9JFzvMhB9DE304G1IqXym12VktOeN/7llAi5nFrs1hoGHfCwg57scwWmaYz8
xSn6cG0oaI0DvSZK4lcJzQZB6OuIXC6vpnIxw7vxTcA3gULgOLBwmFVD4Ua6uXOJcsvnbdShY+vd
y0BhdHp4OjZcHYxNe1+BdhyIOzpxbph52YWnCsfjZFCnFaAnVKieWkF7cipV8OegTmIZwVSAu4C1
YGv0Ql9mAy2ftKvrKLYYPNTOhQ8ZqFCIIPQbLGww81WhPJoKI2QFwLPqGoswhKHELq4KiEMarBeg
61BQ3f4tVlCiYUzPB4Up6kfgrViVLfhFsFAuJwU0kpCNSoU46uJyE3kCxpILyA0IEqQkwti1Ql9A
yQXJHxlLZJ0M5RGpWc6N46HJx7z/brNN2wwKsmS47XmssEuEENp847ipITKZCs3URSF5dtCaEFly
PpN+mPTA7bToJvUz1tzOXtIQJ+100YN9SgxeagFkuFZEKAc0VKYH7zHOCgtkVKHxVR+IFITgryVQ
qUyG23/ryY96UrJg/6d6so5gXv9FRal+7lNFaQjSRpkRMtT/0A386IERmWOIM5Axqdki4oBPBSXT
dR2A6h/KLMq8HxNE5wtlJEsB6RrYs1QZ+hsTRMTiv7TAPIJnMtG3TIOkC7YNPxeUca0l0sF2cJkJ
IvkOoWyt51EXoQuQKM8DeqDBOpu7yn62Q3Ood56GGBtgkTY81bPT3HuhWdx4XmTNAOO6AaZQ7rQP
jdHpnM0UeGs7jLGxQrAfFcp+VFD7VIK3l6N95aKn6cit6Xo8gen0AvL+hWQhcxGN13bjorFFaygV
PV9O1EQ6QP2xB8cAYB8SC225Yu4HNbSwQEwvieLxV4rM38lAkZeg9U+K2w+QRjGTSBvIARJbnbc3
A5r6Htx/mdnXZm9dZ5GtrxLD+Tr54xEAPBpxogIqIgNKogNCN4aoqtIEcpUrwEwT3qzKGihU6gAx
59cxMQQ9cQSSWILEztMLXOfnXYhsndwo0H2Ng16tDsivHEp3WRJx0FflXYUT5mAATl6A7dQXtYoR
rWE2IHJVyZMqL6E1RmSr+KYucqZps1M+woJhSa5D1u5E/T439YRUYUzXbtPt0iYGnZntdG6w0iH3
fqKBNFV+Aw3KhuOBdE4FZQY+Q95D71q7KOf/mf1IWoJX3OeEQnBUnVwTMkKZvulJeGur9Ii2jc0L
kKl7EjJPkUqY6FXWBCm1/iJAGhWoBUaRmtehTTBFDZkQ8QORIvk585TrUmVYJCrNIs8dmIs9CRdF
MJ6zsF+2YiCitMi3qUrDkGYHqpOADCIz72OVmGGr7Axus7VdkiVEksZSU/kaaJ43ZuX0x04Vys6k
Yjhqc9+qXA43s0ZY+91p7snssJjv5CrFo1J5HjHBHvUUv/qIv3d2yMbXIvzDqd0HVDyPjh8sJeEg
aQYbGM0+C9j+WptQivnzZUqcCA3CxvOveLMWR/BhF6mXXM2T/RypHJJcJZLUI7FcJiUEkJ7pvLV5
2+kEmBRAs12VaBJq7oPm0KWABkHUHQNW12pFNkiOVpldQqA9B5hy1TfUiW3PtDNwzI1mVM9YECHA
yrtMpavYxKyUxK1MEdBMYjxREoOw7CuuX6JZyDkl/2U8oIZ8l0S3NES46IAfY5XpIsBaLtvUA0eu
El8YjH5NVQaMnJkKu2NK3CUBMfzyBHgN4WOlsmN0kV1KwmTAiG8qL3nVNH/pqrQZR+XOZATQKP8y
11547qhsGmJZappS8mo0kafnGp7zpfWRZoP0CqFJ9sKYOVm3RN7ojf+Yqgwcti2sDYjF8dz5IiUm
p9MTKl3zabCzl5YYndniQYnVictolSKNgZZJsANiZOJ3DJXDA/7l0Klkntx0882EtcyUSrepkx5M
jA9aAOM80uv8hJ3Cb87GXiduas4hXCrHoudV7U6P3QfSjVKasIwwMnL1mk2VinZLO1AtgrwAuDSa
8mqczDNiZvVjyAdryWtuYdXG4GX10KyoY8eHucqDa0ZT6XlsxhYCbrxoQ6qlO5101kVZ6o6xCCBd
sc+323DXagYLCRny0FMpdDJt/OTfsc93qpKa6/7DNf2efy3e/nJWrX7wxz0t5RewZIxfJf5W+THD
+c89bX5hKMTKGPe0MEFZ/+ei/mAuSexYHuswdu4/x4Ryff+H0vQbl7RlqzXenyt3FwO2hbyQyQ+b
fQ+Owi8rd4e8bJeNmXZJQMAS3RA9vjm/+wMSnMSCXd4ZYmMRoVJPQZYCGC3raw/j4Ek6vUb2g1Pk
znVA9+gCH5wQ6zR6/UCz6Exvlsa5aRPmt5AqmjeuVFyvRI4XNNAnEB+ZW1SHIMKQt2wxP47rvtS8
Ta3Lx7xMxFtQEQNcybHcFCoaGFFTS6qNOjoKvtcA6bZgJFw/lx+xwipgeMamfDbkzlkcAzIa2O9Z
IW1TQy5xJ0GVj5JPhIosTj3AM6lEP0Wa8aRijTPHWnNA9EdXRR5ndRysPRWDXE9kcKNegYuUjPho
SEs2JhAoLhf1Qqoo5dkYmD+NzVUMw5Rau02fuPymG11/iExY542WHKMqCNEMead4RoFlSP0wCUoX
l6OR7Lm3JkIY59KKmi0Ia7cn9tlRAdAwmaKz/CMU2iAemvZVrBtLZUaTtop9SgVJ96UrF7wsGg4N
lqgW2iCY3MayBUtZoaWmvC/G08yxvc0bMzmNJFYXKrraUyHWOJv5oWSeow1XAGHqS4O8S0CTJF/X
KgMbHZRi4IzE5jCxwJseh6gX0MuV/g1E+3Lbw2kXa97Y+T6v+57DjPhq///YO5PmuI10i/6VF71H
B+Zh0ZtCzcViFUeR3CAoDpiBxDz8+neSbtsSrZbCe2960TIJsgggM+9377m24h4RpTGGt15wTEGg
kL7Rqi64QkZ/zCILZGdhP4d1TvK64XQKK+wxZUhABaR4Z5uR+60SXmQBbTVuMp0y1A5oU/l7hAWs
MsL2NOXoGzkDIN+s3RSkaxoyOLV3dV85e92iCrFPmGYkcCj0PN+YEf/j1Ry3R6ujhXEagPeR4R34
AVq9w75W94NuHntLKPvJcGhnZTB6tj6oYTUyAY5AwsS+3mAsF0nWXmCWQPPjRjsxHaRgpLKqg23y
ElfKEpFr0OHmzN2G4MJT1jvLVh2pgqRcfT+MYFSzPtTWlhm4MP1pGcu9V11pLuwkvyq77i5QjGMj
HJ2yJEVcAsGfdrqk8NFwRRUO/a55a2W3KuWoK9d9a5XxEGfOITadiykqvZWTRJuK1iybozy/84la
pgsrz5/mXjlYWnyRRxwE484KjoWLtpPbwlh3EXHlaQyBnWU7HGDbtOKP5EbsBYY4WSiJEywQiJ5D
GnQXrR2fxp6E9liwGCttn/uuB4/YznZea63cun7OayayZUrvmPtuOzGvlnzNrn4NIMdX+6Zch7p6
LZqBAFpCZsiEWzQCh2+nRdRaEaeA7M7N1BObtjsGYS43qVfaSNOevQ/c+V1U2jXe1p0DMcfI85Xd
jgaxhRGCeepjSHiO6CjC8rlqqFoChOqem7S4dkv91Ut5hvPMeGu96dpU4MFSnHmcKqpfU9MX/I3z
pAOhqrUUKPV+D4R5wdH4hZnw7SDvRy1NdnUXnedyPOVAxxziYMFYbp289HmRsrGw1CvA4PBQJ1+f
p10RdEuFiCCmpg2bxa1jA5gXYMyaca1Y6sibKH6xGYVl+HAVSunTyGGcVJ4IjeE8JShPjoXeti48
6y1c6T7cjtRN5aVygS68Bu7AuV1fTOlIhi9/x23iB7W2ND0Y4G32VmdvZdBdw7bljlShrIP6GugO
QBlsZsIVJtdoa98MwL4CiGlae82xBVFjvDZH7zZLZp1uS3izUH03uQl1IfC4AwFj4Ghfu17+Tir+
kjfcGuHcbyC92+6I6ttEO0PDUjHXD6rWssVyb2xbPLhRcy2jml3+WkzirVIBBOFIWDiG7LET6yYA
Fx6aK3o2gGhFV0YdHcveuGaz+a4p1B3U6kLFKi1Udat4/dZtlLUaZTcJONjW0u442iwcmEpgF8Qq
UMhlqN2aR/Gy8dy1ZjR7I5i4YLWiMWLk+NMsy4qyLA6wL/RvPPCtmBTgpJpIuvk8SRVWUer2iuG5
KRq/cJUDfIDdrDirciI42Ncp4CEWiUgEFbTfiYoG29noLWTbrnhqK+gbwiEvCE0KUIBftvW2cK2d
OuYczSxvQzLnYajVL2WdXOMhR/ga2W12fHbeKizardNa3J0O3rH+Co7oQeC6ZgZ7k8XO1h2DE67l
XWHm+z7QSNZRIF10kK2y6SwCqSHBzBjcq4SqZ0MbH4UtkSdq5+ueexfUNrPK5lQ01nU3slskyXPT
WdayFyi3NRZSyhAvMiskV1Kpi4GRRi1fVHP5MKXtQa+tjRAg6dqB8/ngN4Pc9JDbFMVdLaa9ppcH
RQdFDJw6oGo4zm4aTBT+rLf7mtnAPAw+7GkWnuQVgfguaXPEJ5hnC89pH01L48SGb7mkDTvWXm1g
BUVbPaR1tFN17cT7FrNKnW7AtRysOea5hDbuz6r2GFmNWHtGepvXLQGrMd2khnZOUoz/KRTAohyM
Nd6rbZDa/qAr+SqeS6jCCJLhAHd80pdpRrFiVJzRuTdJMO7HYnoVilgp4KBbEmPS48cT0DAW6J1V
14WrOlIKHzUe5YyRdsYiMXrFtoed0vfWmojShvDaGtzbqihlIRgldRie5vWYF4epDQ91a90ybmJl
xzFeNJzPYqgy0aDsKX7mXkfqo4aj1spdprTHGYmkqcVL54JsSRoPa9947E001Vxl+ftmS0sUlP1N
8X9Fl5/LuGib//xLInI+7xARdySPB8MELpzvZZx2qOua9ItyUnNmH+mipGQQDfHnF2Gf+4OL2BoI
A5Otrf5p+MjYTrWZnCqn0f1aMz/oHsfyPaQjE+/Tz6/0ow0vYKE/riR/km+MGWVQTtoccCUd7KfJ
ccmBFDATYL9Puqe4tP2fX+6Hnx5PExlYDoOMzL6/nM44xKWoKzz3ylPbHSrq7LOXn1/iR78Ru2U2
y9ILg3P2+0sEtjOqHkXWZ9iUybDpMJdnEdpvSCkk5772F5C3H/xGpibBrRhoUPXsTycGOULTJ7WN
z7iRF7GBmQracfqL3wlnz+f74buLyH//5q/UBEpLoJiLJKhpbX2B8WL580/tV7+G/PdvrtC3MxII
jN0zI0N7II1Z3gaMH39+ke8NzR+nq+9+jU9/GpFOsHvyJj6PirGgS9GLz4ClecE9UoluNye9a35x
xR/9WoyuYYgQkMHKJEXZb36tNMa+UyRafHaqq0oNfZHtnOD957/Vj66BB9U2bYP7QHM/fXQBJRa2
29fJuWiiVQ7VvSj9Ibv7+UV+9NEZcFBQjzXD0b1PFylpvXHiGIBnLR4L+yLipEi4AK7kTdIdTGaJ
Q3D18yvKe+rTi45X3J9X/PTHAk9AdF+bGNGPCtP4LwYbqJ9fQfv+k5O+XEtzcO7K6meb5/XTy6cp
TQyio5afk4t6B63V746lD0nrKrq2fEi2a8iU659f8/tL/nYLfvtbfbok5ot8xPOYnHu7oSYLbxfZ
Fb3c/vwqP/7sEPox3nHnfZRef3PbUVxqO22uJuegAqPFNNZtf/HZyU//818H6wx3m+d54BU+3dgC
4z8GFeApDkffydXZbT7FJkGhJPnF7/KjT+zbK316wXEiLmskzeSsWW+Re2UFN9X8i9fbjy9BykLz
HJ4k59OtFmtp75pzmJ6L4mQRvBqBvOmd/Yul7kePEDfbH1f59KcHdRW1U8hV4vSF1tjAUFYwIKy0
89P2rKSbzPrF3+gvvxZecdhFJmFViff+HCIlruyI3Cmzc9tvqvppsFfVfP03b7RPl0Bm+/b9VgAx
pjyjys70bcHtgWOfWL/42P5yL39cQtqtKBHw0Nm+v0QyjrkCiS47N9mLMu8YEvziAn+5lbkA0zdy
cxbCm27JBf2bh4VXp0Oebc7P7PPyDs9UsosBqRXe28dn9Q+3Ute/uWmWz+3zf2n4l8/523/+dXyr
X95e/2rGk1/1hyQL0d5CXcU7/NFJwT/9Iclq/yZuDNYCPZS31jeSrEH7BTthXHiehlrHw/vn7FQi
LcFjMO40mKHIZoy/Icvi4PvubQeFyyWFxY6RCAh7RvPzpttQdLSQKk1Pmkp2cE/VnlD9uM9NBYMN
wV+WXaZ5PuSpCtQDVa56DnUr3467HWSeTSFdWFKCovUHVUcsBD1AmmHWB3XMyughkMYMuy1SphfI
BfmHa4NyNYu0w1boVubHeDvKlLI/hWplz9GfA25kapLTg8APUtg0xTo4ROgj24AXnilMH+9xz73a
eEmEUfINIDtsw9Fa951bbs3Gu8Jk/N6XIKvyJEdDkvYUMbTpXYBjBbAEwzl1av101E4urpYhBwlh
S6NLKC0vY+1ue1tg7k+HbWDrj6a0xwzl1K16aZkpy6pfsZlItsLIs5VXOy5DqAAHTBU9dGnVLguL
UsEwZfYxyymIIech3cdoZJBTkuhjYFJ9DE90OUcZ5UQlilTi2nLK0sh5CzDR8NqRMxhbTmNKOZch
kmWdYjmrCTWmNhPjm0rOcSI50SnkbMeunHYDWrxZRx+jn15OgXTGQYGcC5H6xHgSMY6D1YVg+jFA
SuQsCV6kcXBFzckv96Ym5GcoqnhvOoqt7cjHKkAkqYSErp1qX7XKMJddB0K0SpJj1HeLLnDxVEoc
V0HOGdzzWrXyKzPxKAgf6UVaGHX6hoHzCynji1LF2Uet3SbDuONT13KsPeUIeYsbKY+XFk3bY1Ts
hV4/6kp6kQykpis9vzWoKFxR7/di4o+hr/kSRzZWpKh1UuyOE2Qmw+iNBJ9klMxHMk0kkEGzpIJU
m2H2Aap2tOtyTOmA3gvqqXSYpXP4Mo+8dgO1LDlso5CWcr5pkf1G7rVeUJ5rOVxN6aZqm6URjatO
a5eODKCP7bgkWGehk/UJaWWk+yAwL1t7oLNOtfA+hRjcVQJvY8x/mci5KVKLwwHKpyMKw6vlwTed
Tfqso7hfqqMKCo8WmLTGKDiJtNmranuw47H3UWH1VSxRbCpMNlvC2QIobYMMDXoS3BYUjbOoyAR5
2MMWTIA8zKPOWx6Er2DLMp+ny28lDC6RVDiJh5t6xHAVYFwn0XGlhMghWHhElJH5JWCuUOs2XAbE
00kKIQhjW0ucMt0XkkT3z/rxm/mGJf8nU72y+AEsSedrfl89ZMKEqRkruI6K+hGI/X31IGBrE0dR
0afI4n3kUn63coNRIlKHYQej938RS386bxgMWq6Hk5ulRSUn+DdWD8OTO9Q/98py9WD9oPWExhZc
XBiEvt9gNDN72M7q7MvQgFUHJkcVyLcune9LZYQAA5gr6PDjKQQrMto5A6dkIpVjOuzi5EOBV7Oj
28Vqjt4acg0q/QiwmeipHe8PMMGyU9CYByvjHdyiTH8ZOiyoy1kNaQwhfaJ4YteYNSARr7fs8apL
HGx5kVKGa8cCBtsBMYaLGPMOMLat9M40DcSOqlf7BZbRHFFBadZBp94mhX6sCztbkXolB6heF5O0
lGqgJcpAYHLOD0UVXGjDeD81pMwJzgXMwOnqEzu8FsivIY9ObCexnzqkULIRZmsMt5f3I1C/fpy/
5I53psixw19sUOXb0GAxIvBxfANEnLv7GvlPl++VuOsfWsZACy3MDnmsWojw0xmw8bQe7N727c7r
6N2sWt9w5nGZtsit6lSABCINuCC0tFKtblomsFVwf/evijkecE3iymOgRxJGex1HSiQ6q1knarWN
LQR1ql4uElcXflzX952FOzmphoumYxffA4ojoWPcQD9ZV06n08cZ+LmCdT+A9bTjsEknqVleJnp5
TXTPZ3t+iEH9RRDnFz0uEA2MxdRlX82Jzto66petwYg0S0kuQ8rrRbg3g3xVCxcXoWyVZtCZYB4q
07U7OfjHDWo7FJwpaVYnF1iMaf4Nv3Q4mZBTPJyLkxEvIfSdRwdcr+m1vla1+77rE1yl9ZewZDo3
p9ZhmrSbNhxXgJio3R0pqiqS67DoL8DyLlMnpqHSnuGJWOBihKkE2zoNIl8dvTMvdGflVsZbmWnN
VsNTRydKCeKkaDcRpQyFkd5xXr2HKbwoRXVSIoGq76U6NmIvoVYiwTcPMcNxlzIa2anGoyoAzND4
uOmH7GZMLSJJ1bSA1sBC6qLhTE2C/1vVo4MQjFkMbyYbOgxfCkfHA6S3X8aAhlGzuTUb1l6yqJsi
8k5JY0FHYPJotRhdGTjg2R+gh6RgSFNtWbr4SI22u6EzFomVtBHjhXAXNma4rdrqurPnRwZXT3Cn
Yn+E6bjwkrhaJb2p+aba3fUxYx0tNeNlaUd7RSn3quM9F9jNAHJXuq+X2g1y0TquzVvRqBvFKM+Q
mQdOnsYNKTp36dJ5tKCBmc5h8xg7QvFpOVuPccYY2yk2hTY9Q80et+kUUkZIiY4SuZ5fKFhh2HCV
67YtHpNC0i8wfvOUze7BUyfiBRratzrXEli2zgc8voGemStY7bQBQ2LNmukEOZUxFSTDsq4uMZeB
eA6ifZ0bdC5p41sae9eJSbzWNghraRmY6mae3oceL1jfZ8UyCImGIUxgf2toMyYKUCKJdzd2gEuO
nixnkWoKmQcB07SaSsuHRbJNw/HZjtpi1dpFAY7Dw+BTHTXFfEsZJi7LkWRuLS3jFt7xGQ95jZec
Hu3tNJePxYfJHLe5I23nAv+5Ko3oLrExQNUY/0bd3IUEexeQzbAX6slRw8kOpWsDB/TgeHiN6uCQ
Z8kuwvkeRNV7K63wBDkuILafbEXcCmmWNyY2kKo00HvSSl9LUz1p25UjbfYJfvtCGu8dacGn+3Zh
SVP+IO35cT/ce9Kw35Vkg3tp4i/ilMJ6bP0j/v5UGv1Jypa+N+pkL0gB6MPbIEMBjowHFNRBR9RC
jxOfqEZRdDbQGE1f530tO6QNyqR1E4EkhFs+pXiJZwqn1aZ88Signimi7mUjNX6vWyE7qgf64ZdW
Rm+1JhusK5DaPfGe0Ago6QwHSNTUXTO8BXlk4/WITrPsw7ZkM3YoO7JnIi8Oi/syctUdzDwmyoE7
7kxZrS2Ch8jx5k1N6XY+MPIKTCjcmmzkphzlzpAd3YjkMLJ/o/L9s0v6bZfEtuFnuySsTz84ZPNF
f2yTvH/LLkaPw7SlynaI7w7ZpsULkc3Qb/amP31PGl/kmB5HDKS+b0nXFNThTzY5YwMIcXWVsom/
sUuiSeLTJsmUx2vb08AHErtzkQC+VWGqssIQHyXRuerwB2yrD5CA5Zw0EuocCsIPygC4jgHkAAU+
qkeES7IIpnZs6zW8NBgFwwevADzPllS+ETyLNE/U1TAUmXJg2whrRMOCQg/kDLDsbKZFnOP8MyPR
+1qnjyh/szVndMI3XiBz8YVDqVk/2Ty/nP08bA/11Dkz9cpxFW0dkieAjRKLZjBWVGtbhTWLWCFR
OnY1ZPUpJBzDQMaYBmcVugRkFqkLq3duO+XNioG9/nPr/3bro8f871v/8lk8/+DO52t+v/Nx/Kk2
XaiooUj9DEm+ufN1QKucYtnlk0//0JD+PCDwpOgGhwO42UzX+KrfDwjuvzWLqDvwGalaqY77d259
gH6f7338BtA9pIrFmYOg+vf3fl01uWn1+nwSomFyrrcsdR7HVGFNd1pSbQJ5oB+0ahmI7qvaBZiQ
R6o9RvPQWEEm68XvZCEKVYlHa2aebeHugV3TstmglpvU2xS4ZzULNT/mPqfeRN2ko3ccDOuizMuN
G3rbLtFPiYqP3oUT4tchhYWc0W9sCwQnltw3xS5AX9DrkPZmeHTsVCwUoBILt7JWE1EC6bne5Ea8
U63B8YXu3jvCODd6drJQyxYdFS54HvqMQM60CUYyMpPlXWVJeBMOKZ3KbHkmCxNemJUqz7T5NpRh
cpznTjwXLdeZrH4zK7UEeIU+gss2V1J1DWCkXgLpiVatF6sthh+x79QwXeliKAgHON4yjSo/zqy1
V2VfQ1o/JNIIX3qz6aqaoT7dHxswzuPaUeHYDumWLMRqDFsP3li0rM1M2+lTeTDULN5rZE+pefF8
t1YpgElJfaYlC/Zg31RabK8nt259hWQUuLTaPNHQsisGlvVy9jCnN1a2Q1+8tFMDW1/R+k0bPDWh
e5soGFBixdiaU/CGmk9FIr4M17OpnrASck8lYQGax7dlFDTIF7l6C0UbW81o7fKCPKUZimvksC22
QMePLFxeIWF+v4ybALm8VzF1k1cXCTUtBYfKOYqnVRWwn7LC9KXWChwslYZ8osz6tVfBdZytdBVZ
ZJ1IIUdLBW1w3Q+ql2L01nP8g0EBhVKxtrzTBn+gP3MnqLsbHZO3pWkaC1t3kk1bWlm1rZuwDG5c
4ql7zY5eQ6UUKzdIvf0sIkzxWb2rq/C2UXmrq62+NRXR+nlrr5qos1Y9zY5uX5SHwq2PkGvfy5H2
SnMe0E37B9FM7EHn+L7TK0LJnMv9PhAP+OnVldPMF10xXuS5avq1mxBgdEkQl+GmHawjG3EeCeWe
ukmocMO8TXR0KTs0Tw6yHoi1tRVzJMOgCYswbTacli8yG8Os6rW0ZwenXk3vvBGsXU5QItQrTicE
1+AcVPGqTspmHUfFs6emxygETJWF0YqGiWORUati9UxnHeU1DuI7Qo+VHyphRORNfTVicU/Vw1Ih
c7CosTA/97W1UjTlsafvjoO9ezRGNnHaZKdXVCs+MUc8NJrz6szNYbLE5ayxIwZLuGhK6zSWpX4s
6nyTqVW2Eo59MMYagnqiojNE132odos0np505zZVVubkHkQMs7GnUoduldovhHIb94RZ2jS7wkGs
cGipH4XSkoDpAk4acIIpZPBtA377QPA5TlaKYm9naSeGaoGvsMYKw5Z9kUXe0fE8fIXpiRXX70z+
6jpGod4Zw02az0+eTaNmCwHYZuW3ENkyJQn9tq8uumHeeSL+iocUbIymEa0YPPTz5KbNrK9ejSGs
G8H6FJVzHyrkfbU84CEuI/TUqEVu5l248OZs3DSFPuW/mS/+GenoDCd/suK+9c+vP1pz+ao/1lxG
OuwJma1BWcD4wFTtd1GOXhWw4RJri43eBJL1x27ToKRMt8Hn2mwCQcVo36y5Ht/P+pjAAB0H2vC3
ltwPQPl3mpwjaTQWUyWcEzY/xfdLbtDFwrCCeDrFxdmYgODqVHssACrcjbM+LNRJh/uoFxdgt6/B
en6dRKb4DuLKYoigK5HWJRLTesATZUkAx7ZRsb/CmzpmnXc/z9WdMRTvWNHWlWJLGrrzmIkctmtj
6z5HoY2q5xc43/DcBb2H5dug36HCemmr5qKy03ubMcvaKG22AxgZdVZzKs6shzTjNp/mr4CvClYg
b0u3610at+faMy9jl6ZxRsE3eUotUzmGl0Hf7stBslGU5qC5SYfDktDoWPI7z8vENYiAd7vOjdae
DR8isYp1ESlfOgFckzUd48Rl5obr2YzIEjsO1Y5Fgz9r6JbIHevKxeVPr8gC/s0rAtOpSel8CkG6
38wUFcd9QHGSaPy5Gln/EoidcB/YytM6tfIU6zGfU6LhQ+Cg/asZvRIxvN4BxqsyBpK4lSzdoV9m
jAaX3sTOZPDmhaGhI+DGXc21dS9D7KkfoqLceNDGWgniLJESR7tp5jttGObEx/1fRUsLHCaUtAST
0eU4hYnkloWZuYSjniNzxheuTQFLM23UbNzOQ2+vOqzKiySkzl01e9+RFJ8AP6vpcFjA6P4mEuuY
qY23wLr0NJvs1jBiDfB1u7u2KJ5inL6Bhec/KxmNNLup6w5jDcvBToptqavKKkoFsHunP3qSN5NO
xoHp1pfJtPe5oEY6t6bnSrOqOzPHoZubrPD9YhDDjoPKZkySAD0yQB+Ngy2+n9IPK+MwgVYDXovB
dVImDjO5e6/0OL/tSqF8Qycv0qPsoge5wbCbPYvOllLQ0hUWhCAVQNCV2MRgpReqw1BRD9ZGh1sS
9jrUru5+zrIvmaW/lwafGS/4B9UtLyB/3GG8fQzz+jxG6ABj66IXzg9NXeR8+2gbjInjA8NYFWO7
zzuHuzmZH3qs5YVWPbdTvIKCckA/W2qxeLTjoQX9S9lHqhacrursluXiLmrgJIjObPjR0gPZj5WY
UbNb57FiaLeoO/tYM+qErbtRDfL8WPs36kQkoeueLDe81pHEHK04YXc8jUL1eMZmHSEXlbmyi4s5
7S91I1ynxWuKStj1bbJqhmBTxoOkZpgogtZ0jm1q9yieW3gDIcPWaR7mjsIBxp/PeUC83FLT1gdb
sdeyUEcKm24h+pSLscwod6mdW1K2B6y7j7MbHWn6ujJ0ZcPWDGxA5b3SdrYF4cRt5FS7vsu5AQPp
9h5XQaK/WYkpeKC0W27jB6flcKoF5WUbYxn2jFdvngDqK3CMAgaQeaPRih3q9EAHhbXI7MhbuG2t
0bc7Zmcw4dcp2clFNIlqF/SRSimhRt7V9r6OQfucZtU50GqEc8cKls2gImFPlce2xjoAtDXPs+Fu
KD+KGIj2VXIjCu0lmEj5w8y6m8vywpjDr1qh7SElTds88JRVm+pgb8Nk0YiowSBPZI/U5Fsp6ILq
yBWS4KQEOm8rFnZ4IgtqMRjBWXRcB2Z9MWvOodW1fdzRIxy113XYE4IfjJ09m5djpxzKnN8yTqul
aCN1Yc2KucRms6QQi/43x1z+c8j+OGRLAtL/XvIfu68/WPDl1/yx4Gss0J700RFeY7L2/YIP302F
dgU26TuCJgs+Mza0J+Zi/CcYfL49ZHsyAO/xT5IsR+Lub+hLxPH+esjGMW2biABI6wB3v1/xs7Ym
9FOO6qlNyofAK6wNJzF0IaVjKuZq4soqiVnRmuVdypk/pSYys8zTLKuhoX2N8LtYii5qacU33VT2
U9mbfkCKdUdxrGfFFz2rd+u+aD0lXno+bA22ypQ3DTsvcNeo+OpSUHnJk51hL2J25NA9MhT11uS8
cFuF1MOHQrzADjuUnbirNTIPJodqjibVSzZJrktjFotqGLYjfguOefIxhEpBbME0z4phHwJ78Fbt
x1M7KMFSkU9yxiM98WizRL4EOXgPfSrgnMnn3y081r9SuW7p+zp78i2Ry/dFZjAhC+hiWgZA8Dmj
MAYpgukcjWa9qnnlNLx6Iqu6dOW7SETpQ6wbt23piaXC60qkFu+tObyrKYmMq2bX2fA281nbYkh8
VeU7j+TaljT7VaEmRzZFjzkvRzpBbjVg7jzEvDdrXb0VToLYzB+hJQPsZ/Iti9jwPMn3bsML2JVv
YuaMEO7p4RxM9ezKt3UUxFcxuf6Fkg/usJ8mtSYzQpStFnvVLi7dOT70UxnujKRhmOMRe7QYdWLZ
aeCgkCOwM5wbIls6czoibSjIeAXFO/XCA8AH9qSkFozDtHvydDFtsoLUX28nOwwh3jFs6jed0SnH
Die8UroUMT62EOJ7CPKT/p6xlkCBsRE6okTusCJkjaKocSukVrhsLcgCBd2Se/g1pwinha9m7mlQ
SiA/NknscCrf85RjdqNRIVvrl6IUhd8ZM9bs2GQYC8CHJLqySUYs6L3WPdkiuk9TRpQ1cSb66GAS
6WQGGjCDi6yQ0cdmvneIHrKofGVIu+kwJ+3NQrnSXPFuRtOqi0YEk9H1i9SufbWtef1m1U7Y+X4k
YmaGxmnS0pNpdCN0Y+QOtUy+qENwZ+UUgLWkxaD1OHd4JSx+bB18i95AzetYfivGRp2qXudTu1eH
eFOlyXUchyu7yx4Htf5qeXSuaynbwqkhEEraf1nbQ70o1eJouXy4lqnsmcGYG1vFmtJ5U7osKK9Q
K+3F1YlUNe30BbZDt+g1sRaErGjanavlNPa7NJhVvy/UyyEbvkZ81is50/ILO67YbkNgKMTRK5uV
7ZbrJDIa4ArBCxwDMAJ0CivZUPnsU0s/xQQ9TmTpJi9DzZqsVykzDMRlmekkF1VQ634s8tRPdX2T
RM2Tm1SHPC/utHS+15Tmip+PdKeJKWXw6LQoYPrr3TKc+4GJXXp0KwkfmtVrVvunqfUE0nKEqWtU
xr2STsquzMHvF+xj+7S6MZGXI5Feu3YBIig3SQObhiRaOXyXuY6o3AG7VAeUDiSGku3ynPGXioUA
ud+m+raZF0pJeicvuYknN+vR1ZwTsgYgtqHMliRR2WOH4xWqBYdyS6WcSEv8f9bZ39ZZFqb/vc7e
vkXP+Y9WWr7qm5XW4FRtYfhnMf2eVW2gdBM3kPETjCayAey/cjYBdtPScVcCo2bMYslu8N/lbFjV
zHiY1/EK44v+3kqLhf7zSkvoBdAq14JdY38I59+OcooME2/Gj3HqORA33GN0iFoq9R2Fwq4wXGkt
8C4LjN0i6LvdOEzaogQqutJ6b99axMAEVU8Qn6db4MbVpktylkuNdi6Ow6ukEy+hPmragjEK50Qa
TTtlaSjdfYNL7HqixGVj13ZwQZrI3iWjs7Qr3fCF09dH/ENQQEI9Wo+O9hVK1ruKqW+LVkwPDCkN
3y6BBsZjdz1p45UD6v2qogoVHOwA/C0rqDR02TmTV69hoRBemzxBWJ2fyh1TSkw7BawEp+QkZzqO
YedVowCGZo+eQHNbkOK1cTUuQoGBsjUwg6RBoZ0CnRfw2BX8f2Qetg6FKAvB5eeYXucaQCtXYdQ8
M39a1IZbLT1jOGZOwAMZEYXTt21NOSAWoOc2M6qDHcJMKdveWoAIvy6txgeBdegVdia1bUjcXTVt
5kgjYt3VK7dDdKgjO1hRDnEn5ubGq+utgLmys6r5XA+g9A3b+2JUzktZl5ecSB1yb9GeYMAZeO1t
2DMpGHj59LTo1MLcqZ13tJqhWeqNYlPPYjobkZUPyZDtaaJ5HJOW0hJPeR9DV4YV0aSz/snCbC0K
Dj4aSoOfFC25SZuPhde6QMcLo4s4JmSaVk0MZLY8u1Nyn6oQy4ccS2JWsNtQaE1f5WWBhaVp8IM2
j649Iu/r5SoNsaxMYRwRv6nuS4OaoVzNrAWFz+AT1fG25E+fASAwGNOrLdRq1HB2AByqze4sGgoe
VWdIVmz8XkzRPvSwc/KwoDXe0F5FkCbraIxkXZG+CBTXWIeF06/t0QhQPhryktyuAM9VbI6UaFIU
olXWUpjGjnCxt4H3kEAIK3kQyGZPNH6YafPVEJJqFjA31JIGP7HdvAP+I7ivyl2jy/hBFGm2jgn/
w3TwFk7tsbLDsaSOiIrXvozmZYCtycha0Au0C0Bq8BjWjyejD7a6VbCTK0526u4UJV53OmvAMhiO
Ht+zMdsbUQ1sNibnnOb2F8fLT2kBCGgwkmkZJOMmpelUreK3pmgfnCxScWe0LMiJ8FaN49V+6SHF
tEmxLlNx1PVu0yj5XRN2u7QKL9pcgC3SGz/Wp7Oe9Vuz49CKZYK7fSTDnenz3lWzx6ihLs4WzFLJ
F++SyrnQvfwybgXVCgZchmbS/TJN4anb9OuEkJKB7WnxrkviC72LL7RcPGZ0xKEbNdhOtADtxvoC
FvQEusncRFiilmOi2b5FlcqS7BlOuxCOu9K1m9DMOZXb8+grU3492MEXGprYeAvqZyiU5dXD10Hg
IDVKBFwk6S6Y67eqMMyVPmfAnz19q+IGBZJgp/THQPXrWxwdgXHVDnA6jLibMEo3/8/eeWzHcaRt
+lbmzD550kS6xWzKWxQ8CGzyAASR3kX6vPr/CaippthqzWjW2nWLByyiqjLi+14rVmkvHcz9+geJ
JEcRE8EXgb9QN0ooAa0Xeh4/z451H5DwupTkXS7rltE0TYxb9IvPBpk+C1SFN6Y2Dgtjxtzvd9t2
Ri9dF16wNpv+RkYdTajmfR81Z72nqMutvEMMcL4I3Pwmq6lld2PtEGEZi+22WOnteHAmb90rGoLS
YBuFW5YtnWJIKTgcS8RW0Xku0IgA/48rTWYf4Rzck4oNLGqYdB/FUbUdo+RdVvYlLA0kxt4wr4g4
M5mshH4cWCd2LRml7kBu6FzPN5NlDWutx2yb+uHdaMXrztR2lPwdfT/vN6KSB+QJoPxkVy6ZGKet
NdDunjmlvSE98msudXJJ9dca9fd2NCNV/N5fOV3+YNr9aaaDcFEQKih6sVFZIn3pHYlO2SVN0O5m
vkTLYXZiBkl9O7nGN5Clsx1yZo+qPiuJ1gQ7f2+JyG7H+nUew7Ub83Q2U7fELPdcQlIFKckD4wA+
mupYxDlNwxbbPl8C4ks4uauFG4OV2ikl0+Pk3lcdedvIddKWgzK2HIJDMnfHw43gfI7PhsV8Ozb+
RfpzuDXF8JjxvV2w2iQ8KITc9ybriS9vpA0W4rhzCdgVvnJ3ynUZRx1isIniYMtyLp6nAdeAsG1l
I7/GqXFnFx36/Nl/MNz2OUmjAKWhRzAvCR8LuoTIFR2NzWx6bxaKnq0kxJB/35tM6nJReOV7E8yM
gYnRr0hQna+oFrahpetr7rzzIPizgb6V1odJBmtdWpVW0izVvQeKMdbd+h2h/yVJyKQKtCCF4gnO
RuWwUIcTIHTp98SoQ38HCW1hPGX1MvDon3FxXFdVXAB3lpuyC3cToC4k35ulEdE4aMXdVKLlirXk
JXWrb4qCtlTECNFTW+YIJbDt7wwVQwJi7B6IC9gDFnEVF4KACBVbQqHYRKqj0Vz8WdCpkX+kKuQE
tumCPjBbkD930q04BxevPjytCNeox58HVTOn1aSWhOSnpCpIpQq1r7qKViHj7cxpjpTkLPpoG8XC
1ki5Im9PZx+qr8oM6wd7YKwroDmu+3mtG34dnf6Zoz/naAUw/fc5+iJfixCD1nc8w+20f/8///tf
CVL81I85Gt04Mjd2FJK8hfFpLfpBUVGyC2lhm7BRns2gDSz1QxZifcHc7XDcAGWBT5Hz/fscbX1h
IFdDOX+tinr8W/VLrNS/zNGgZQhMKDNhLuck8ZjYf56ja4f2kIH2JLwfBiGtc5b66JT84KiNtX4s
3IY4Vk2fuheRRAcqAZ+9kFo8IJNvVm8bK/IcB5fkuyzv17WlJ8TU1XRmJDHUKkrz8pE8RbrSSMJq
QproJxQdSexQjldZ8pWGu/g7baqB3JiFDYFC68ay4PQvwPM3EcJ0GveIxPeXmRRE/sqEKBhEyD6E
OXrQgNEGerni9kvsUaVKyQ/NC2mmTRFh2nHQLyIT0Nsz0PIqqa9mIU8ghifkXKWHBEjkkHXGpZpL
NC46QpDhxrDmU9T7yjh5EmW2N8JoP8YBq4QjOSxQZyzLpu8YPEV0qoSz1SvtOgGjvq0C79hWEeRL
CG0W+g25rU0pl6bGnTY5NOlIql5Wbt1dxra5aOnoURFIT8kkYLvKclgzGTigYk6rofy2JvmRWu1d
nOl36I5ye9lnbXGt1el8tgTDZV1twsqJvpI2vnRbbxk0QU4gBGl+Vhl9oDFIlmblhmuz9BZo1GG3
rPxOc+xhU3mwGW5NxouEuke/61Pi5yzw1dBhSFveyjSK6NKHBFrGFQGVFtr0dtTKW2cAOyAykTtE
Liy/KxaVidwn1s6ETG/oEMUs01XioaHpF8id6R8cfoMmKCbsO1+OHejRXLnVsx10TPSGhp6GOzNs
ls1Em9VPj+L1bzTrX2RYkEJKrRg6bzQsEMRor/74xU70aNBTv0muTD2qNtR/ma/RxPs0kOT3r4CJ
fyh6k4Pnv59/19nrt+/yT84/furH+UcqrQ5UYDus64DzSpb24/yDogdyh593EIt+Ctx+P//8L+R1
4KrUCQEQhq5w9B84grLUIIwjQo8gCtqy/lYFAvvrL+cfrICtQjqU6RK0QyEWP59//TQgfBHucGnH
PqW0MX0q++mWxGpCpP3wkht18o1HrCAp3LpHSA3Zyzxw57nDhxbpGxO/L8OXNlOPVK9Jp/TIlSPd
O5bBmwxRSY0ZgG7fFbeC3nuI8zLYDswj1CEUq6hy3zorvnP6+SlCkLQ0M8TbZiWWYxnllL1WB0uJ
9XJXqcL9YjNn5h2vtRpaA5gAyTTCc4CNxOuSJQW9Z+78B1ogGETT8D1pqMeWwY0uxksUNrvShcyE
MLwxI13fUEyB70L016PplmsVz7JwTeZ7gmwUr0eFFYtd3XGgCzPmuDZ2Brl+G78FqUQL4K07bHZr
KwUcwQmyKK2cQ7MS99Insm/yV51lrTtsBwsSP2MAgWkPfCeWbRF5i1CfH23/nbTXlTRHJbo6uH37
tdPneFklJMgJi5TpbmIkcnriyO1x+t7r5b433I1raWTR6dFjaHDIk8m9hFQgIhX/ELIkRFYu+Xru
lZKJhaV8pHTlreumI3a5rZbOK4ect7ox9l2Q3pgTwfuh7dx6vENBzJqglaRpZ9mVFP6tE+tv6TjT
aqb70Jq6MeOJHR5yUzwnnn/F2TowWbKgV51BvMfoHkn7vKcIoqBjRX+M+4QxtSDR3goeqlFeVbCI
oUxxA2YZ3RlUD/bafWV1pzEab1vf2VCh9bXTkm+YVFBFEPe9lBUZqjOuwbXZ1B/uNN3pHQnftfDP
fEynIXFX3ImrQHwYlb0OTNUj0M2byi1BRgQVF3QMOokqTg3d7Zy49kIW5YtVOPT0NBMQ8vjKXsz3
y6hRmYVYg/u2PNHZ8x7wjfQlvaVAG6o069A506502vdeYz0wI+veRsQWcvQz9dbXhj60WFGoVkCC
FS0kZaMrLSJ0b7I8ZapKH5OWN2lGlLGwodkXIjdvW6da+6zpuNAkO30LGRGQxnRlduXj2DyD/Fs8
c885ys5SeYKjkBuFRgOcIlN0Mw3S3wcpsEnpNuMWWynQRzcI/NFGgsEpgq7Vqg+0ja1/QtbaQiVH
QTKt2zyt54f+U8Nh96OHuiIMUnFXBBaKCC20HmORlGuBBoTckBmCSpB5x/buK52IRzMz8YhbzFNI
SIBNV4QlZYe4Eu46J48Le7P1XPZ2QsAQj1sW8ZWmIsJZRAjjYrzpSy3OV6Hnj3dehWKljKLLGM3v
6u4lMtJbUfC40dG+dGnOWDAawbpwvIgan3CTue7VKNh5UM7MuvcUo6SJPBtMD22N07b7GK2N1KkP
QXuTxd2mUnqLGVVOWTUMXuh0RFSEVxnKnVQ4d7y7xpait6smQVeBxsdH6yMtwfQSDG+NIx7L0vqa
6y7OZfRBSUZpR13P84Z4hEcblg7RKUo76NWrQQmMCiU1SqPspKM94r+auJbIOKhbG0kfAiWzJozC
Sj8mlEtV4j5WdXxmsHuTDWFceu5eHLROTlfqC1FH1sJCprMgKEtb6oHxpo/JrYdWig8P0VSCB7ZN
3Ye8J9l6zqx2aQ8eO7QXrhzFzSPJQkEPXV+2PEwTj54Lkd9E5r4J2WZjKH4cechcjIMO9Q9AeyL6
lDgwpQrISO4HNabGhF0Mw7iLp1rkBnXUCAq0iLKI0q+TTdv5Ma5DGruU/qBXSgQTScIcBq8AOqcI
qYKmNAvGOH2jKie5mxSdKuFVK0Ww5opqdeFchxLUTlNqX0QGD7HnHDGsfQN1a5cEJub3yFF3WmE+
kA2ZL4OKTwNgluoV6F8PxleH+XXzisJEp9tVCbdD1cIDDig084zvWpN3jG2ZHhJzLnVjQteQhcWa
daQheK9t/BczJ9H5nxbQ33Y7FQ3yVxNRl782/zkRqZ/6eSIi4RdXy+f88ksLKC4YBNo6UVufbpcf
E5FiVvgjmkBd2/rXHvljIkLPSBoDMsPfJAwk//8dDYOrBuM/qBYVSMZKykRE+KP1a6KLoF8bX8tk
XGzsX+kOT72Jgq9Oz0mQLcXc3HjR/MS2wfPcZtsh9J+0OGoWOSCPjfbZD8AmY44YYu1YKEt54/Tl
1geS64hDd/Jxb43Nau52dqI9l2HIoc8pFl6MxKc/iXaipWMzP7jGPC7SxhlY3eZ39HmUyHSIychP
fcaSQ0C9pQF/DS3V3/luQFi1suz+GmWXta4LLebP9ePcY0MzLessWBB4kLPHQqOLHSTve1yBds/m
u6eR/112KQyFOd7l3sgRNpISPmlPchZsRbC4CSXJpIL6V4UzTUdNpFQH8xyNBVEQY8CFwPTL/2g+
2Gsgw+fmm+yNFWGIJubQmEyDQJirPJI1paXWNz39is4rahxyJAj4sKlBcFTWWeC2csUROomlnZIV
ybpsoXuucPbsZWO1/qsRU5AEdUToR1T0ES4+CinxfdeIDqnoawV1lSzTKEs/KyxN6qTQp6V7y+yl
sXRiSd6Eqr0kOp0CzDmTN31JKWZXEa3FucJbpaijRpVnRqpGM1eFmnntfC1nycreEeIgVO1mqRis
Vl2xo0+NQKDqOR1V1Im1SxBaSnlnQotnpOo8qSFGyIdL9QyHm6wGv2sOEcGI21FVgRaYl5pVrQpC
tcgKtkbafZiqPLSOalruVaGoQbNo3/LxkbJdr/F+YsWu2R5jVUUqdOe7r8pJO/Qq66Liq4pIdU+9
OrU/dpJdexZGDeOz4FRDBejDFW2Fqj9N+8beYo//nqtqVFzGmLRUXSo4Z3jgneP6UGWqHiXQC3Oi
YDXQSZ5qKBZiYwUTsT6bWCmlQgun6lmriWi8kkD/RaMaYFtPk8dBFbqGQye3fkQ6H9Gu1rbCIL7m
wwN+bOwPfLaCZOKImFNhbdmrUbDoqjw28SvmKIjWN9D5FMUnJrJBMX5oIB04AtGvGZYMjX8lxbQJ
cOsbz1x4kNDlu2FOi3YdkYCqr0dVbIshXyYfGc71Hb2F5k3JwLfCPNscW8QJ8mgxUUg4qkwzQsrH
oK0KRWCVMFlUPoRLfQ4IwoaXxzIxLm14Ly2snzJFhAWKEotyJIS9oskSRZi5MGcGDFqiqLQJhQoT
I/Ta1HmIBKp2Uc3dDcGUlGc4GOGIE6/3fud8jyDpAIM2g2LtRui7QfF4NoQeYfaHTGRfR2dwt9hQ
nWWWS3WI+Gfein0HLVjynGoKVWhz716HOKwhECvFJBZQigRYfTOhGPtMG1eGHK/bWXp7DxqyhI5s
AKrrT36yZZ6poSwJko5p043hAEz0vUnBsOOR2zmAVUgvug11pEuuYkE7xYfa+vyKXFYVHZu7GMo0
hTr1oFC10UIEoljVUfGrBKUw0ijOVRR+/JZ4iHidtE12odXHC1d01mJkIDsgwWFGhijGO56/+Y3N
maV3BcKR+roctDukx8oJnMaHsOh4lMuQxJpp8PgnMfFNGnm+DJfOIiiH8CY3fGYBHpebTj08sx6w
dqkXbSs7Wif08W111E23WSirlQebQ1+KhE5LHBYie/S3lTCm9ZywuJH6kHHCuNN27KZkHTSxtYrp
RKO6NMHaLe0PgLV5lYp5j+X5grj2SK/nibizfG0Nugmjgr/b0qtgkxKUvolcW98iuCK5mNiXnemM
9ipBsRxH2bwM4tjcmpbqIkn410Y5T605YPzICtgtIEfVbcAppVM/sh0KflNb9vYu6rGtdXBuWw3i
YZHkLLV1SFVJkeNG4pjqFp83/D/gj8JC/vuocxv332UTv/8J/q1+8Me0Y4gvgjog4rV0ZJuqlegH
/AMy7uDBYKIBfP4NGfoBf9OQwKQNxo1bkRbMP8LfgtQUzwPz/FdFwt8Ydnxlevx51kGI4jDq4Dp2
HOYAB7vyz+hPZBZkLHcWcSNlXVfuScvIdYZ6EnqT6ytfJOnF70wrXXE6ALnEar02iK5wWUyIgCKu
PLt0Za1xNo/a3rYL69yl2rQazKY4okvO78AYhks3iupUxG35rQ3b4YBqM70TxkA3S5n4xbId3e+B
GWO+E16wMRIJC+nSnfACUIOMXOvZFORQLYCQtqlpDKsZNcJbD+D6oVnxfGs2TtwRRE0CWDEZGVSo
D87q1KvRRHzHtZsvEdyn13neBfcms8Zt91kPrCd2Sldw9lkcjFcO+wHiD4/GNMMtQpMX7PS+Q3UI
jUH3MAcMRcQkgMP3SsNDtU6yF/aGz9pix6mSdW7HdfKgJarYuO5TSo5H06nlYpCq/NjuyW8kg8Da
C9WNPDOFon1EWE9ytNdW9cpQJIDeS98+9oofCD6pglyxBtjDIRC0WpEJU1xY1nYymmQ/RUCEqxJN
zmw0vbszFSdRQk60Scbx75CUfbaTut17tRf3t3OC7W6SdjFby4gv5nDO/WwqtN+g539OBGUa/u8n
guryXsXfwz9JUlI/+PuJ4HzRPYMr+DdXs7Jf/XQksMZ4PiVmLB+f8u4fR4L1hYwj5GaIuAn8V2F7
vyPC5hdWIsuCw0KR9tkL/jeOhD9jxISFI9uysI75BpPBH8+EmB7sJkLScjbQYUXM4jUP7bJz7PSQ
x/lQ4a3qZ5dZWuiVSblgMc13HVBmCLZyskg9gqNVlaC4LvX6JXEzw7jGcIRlOumRQy+avvAvOfLQ
Q2h1Wbyv28m8J3pKs/dGo0sNKYfWXvLACg7p5CAVMlOkGHexi0fkSIF31nzzi9AZztKqpH2Ddmzb
0xH2HacEm0wRw7x3AkR4q6tvu//5xW/rqd2LDLkUwC7IxDpQlN4sXJTNbh3pR1NRfrKuE/JdCqzO
0ejXS1nLdt3pU3y024nCrmCuukVCF8Br1xBwA0wTgPS4gnghOJXuOjJRTU/Fi5uG3xIHNw6ZD/my
cuzvVZt/d/ySgoU+r8U7ie9LT0dmXYfDvph1e9OmWkd4aOgselOP4+WQdgb25IF5DrD5ydDiauWn
Q/BtjJ1+11iFuY+g5U/0zQGUGxLEt+7G/VxV9Rabe7mUPSdLnhaMqx6jNBMN+C3AOx9utXLggZCP
BeRg5UevQzhsB9I9T7Y971PBKhCb9B0IP9q6MRpcGSrFyeQlcH+QXm6RrirP/06tmbb1+nmXGfjz
OKu2UwAOqjV5CqRIXA7R918FDQCrdJj7hevY29Lw0di247KN5HCVWiNenoiR2s9Ux5hNI02iVeYF
d3l6B7Vq3RaOU3xPdCEPeR0XT0lPGQMQIT0KfXL8Z475JPFVjdJfn1qnLm7+1+Utbqo/O7t+ZvP9
L6AjOER9KEUf8urfZxdslsWQgyfER/QCePNvNt9G+srPkG9keZx7P59d4ouHKhajqorP/Tzx/sbZ
9SuXz8mJJNLzBXIDODLVR/XzNCNNmFr8L+ElhAVuTNph/m9J+r9WhlPvSDqux1+EBcdw0SYoPu2n
INvcKHW/yqbxKkzdPQ+9vxlNM5EbNx/Po8WCBjw+NduZ7+eaRCNs1kbr2XcmoDWVdfAcZ1e6fkPC
VlCfO0l/Mf45y6nPjqNRlSCabgpXOpGc8xpf2LqsBr3apehs1lJDOjWONaE/JXW/A4H/WxmJet2U
Q7K1HLzbRe9cJ4wuhNMzvnVlKJHrhAQ2hrJMNNrLh7m8K+QcfeS4NDeWAbNPIhhb/Zo5QJgJDyL/
b21U4L3rSOS6dQcvQYFzVY/1TcsaQyrLTDSUYS+0MfpqVcYRXSa5AplW01cD1tLX255yvKFzjIXb
aldd1D/aqXVf+82dTOcTGWePjo30z3NQO6WxONVSrENRnyJCgQlTS/cG5QtIlJwjRbtEyCGt70PU
V/Goo+6EAymng7T15ypJqDXJXGWEqC+SvLsdaZmnbtTfIiedgJEhu0RAlKiXGWzXqOonuten0uFU
9UEqQkFcWjuO9hbAbz7Sw3vsA2070rnbElG3zTNbohyb8QBVBHrE55wjaR1Ygu465HfzLPeUPd9i
0cm2SWEXK6pw9pKeZ5pgjH3RjJKSjPyulO0xsljDtEl3vk19ijhXhsMSt9ZmrPiqjgayOUFQn4bM
DRZlP1Y1Oq8iXhiUsSxSTmtWAhLkwsS+s8VUkoVDQXJT4MkDfAdbCwQH6dSea6fX0F7IfZ+O07bM
9O/C6d5RT3gkRTn50fLJeV5EqR3fVIWXr4gUjG2MHzigXUM7+Fy0W6IdvqVatJ8d7ao13IeWUz6L
qOf2MEAiwsMFY5ywvd70BR7DBIxPBuvG0Ja5Q7THkJlbj9gsKqt44+1CKe76J0N5jSqMN/BjL8zL
51JHMxvL8WBn+vXMX9obxTnHmTkLA0BOezUb8lC0cV+K+WQF6BTdxzF4Kb35QACtt7FRGErXfqhn
Y8HG+9ZzkXctHcAiT082otcwSIylZaaAAKn/jFf02YJLZ40wTr4owuUgLsQLUakVLaMZ3MGe6w1h
jffe2DwISqnHMB1XdkSCUa9iSOMJCKKPj22Z7tkAkML0xmOlRfeelz9olaocxbASVh+mOx5qXzuM
I6pEMIQDI8U2c7JuAdy0skqj24tOtLdiSA78fkc70V8saE+owowE1VJGG9OqCI8VY7obtdx8LgfP
/dp4JXkR4zQFNFYG6e0YuLRzjZkBIhnQRxW30arWUspjaLcjinbC9GNq+mrgsTj1lR1fdUIpVjPZ
B82yQw3IEwY6RKKt31IKVwfe2+xAH0UkB2oNRoG+ca4CGn7W4Nk92Krf8GWmh60nPPE4eaoq1rRv
W52SApiqehX2VEsbRnLsy+kur9JhkQwlhHvVYPn1xVfHuUv45Fd1B0Xjjk1x8KzMOQdVxJs9k2KJ
hP5NEG2Pk3qKeOR8PiP7XqeziPdxQmM4hacEGoroteAmbcs3itSXCfCzl5AjEGj6ncpItqzqhaRI
FEXJrk/aD6LzL5k9J5swwI2F5/nZTLoNa9NLOWmLzmuIRTSYcYIBqq5tCkAedzo1gb2aJlTyVO4m
tfmeO+24rZCUJ0X/3APU2qKltDvuXpoWBlzyMadY/gL3ySiaR7srnmyjJBNjTO7GbDoV/rBra4MH
fEiewmjaxwOP6Die+yDfhjnRiHrm3LbtfLEb53mM7KsSrYAn+qdhlkQZlIfYnftNL3wOC2x2fBrQ
ounLXKtmjcTZktYMGJ3VWCC8mAjFkQmWDLhlYjt3aJN4BzOCetHM3+PDP7QWYVsU9NA5HB3roETh
RkJDHM/trkzCJ5vupYWly52dW2uOG3DF8WwV/PZ55J68ziWLMjwY0Jp+1bP+lsvKSy+kju/SnKEP
HRYVoOmr5mkrSll3XQZZiVjzFUnmgfd6Fc8jwm/TP4huumkqnX+maA6Jru2k7bwEerXvCb0UbX8X
CHcFeDFvGoD2RR5H14g5PgIdQo+m0RddUCRsouX17WxbB/V9XrSgb0W5ozSx3tHTNZ0MMvgS0zx1
Mn5xgpLMQnqTTbNsN0WO7aMUYrjGGxstaCm21qknvxZED2403bvoAL4gmnWtAmBISonGfAPT8S3O
CF6gaET7OlQO35fZyNYTmN7CEnH2Tq2juzKtPMIqOZnngZDtj5/ms/8XZZcPKESGFVMIyCk6oT+O
IEZqG9jaAu0qSR5IsUj9N2H/XfHYLy/xyw448S120o6X0FUOqHvpqsuYXP/1r6G8wP/GntQkpX4N
R2fjNSzHtn75NbAsTMTMxOFFp93Pcy9zexrHezoZ//pl0F79x8vYDK2ChBQsW7oyUv00sIVlQrdh
2oeXLp/XdYKm3FRAykMnrgfMq04jyb36rT/qHwDE+ks9nAJAzq+ECvwJAfyzJI6kOKoyUMSpyf9T
9/sDACFEjrGd4BkSDzGs/7xEuF+IZKWIwLEdXaU98xf+IIApcae2AjjF+P+Ikv6PJYKuA2x1qJLx
xLum/ssS0XRDV+fONFz08lpSyjehMvpb30ibpQzgFziH31Dp+35ZIeBwUqtzu+7SiISD/VHTL759
04idEfCVvCL85a9fz/xF5KwKcf74iuoZ+ekZMEdPxpxS3SVBhcUcp1JcpqY0EQ+FZXMzyNI79K1d
kZuGnKZxNk4CqVoHY2CjF2q5A5Hev4ymb+4di8zaCdZpZTQlIhUvOtklvLJHCX0ldQRS6Yc/al9V
10dJWjd1uSimklAqvRXEmmVG3lpygiK4isOdSJ1tQ53jxrZdTF0sSdtgGgtctzRwupLBDHhELkCH
wQPIuu3iW6/vj1gvqSmP+5NWB3xKSUw1HUorHFUrMWGRcYabgMg6pgJrV5bGdY+exvSIitM7Bo0k
PJZo2jpLe5AwfiTFvvSzRURstOvJ+cI72WzjFqIUE08U2+MicsphwzLXkBI4nUviKe/cVvfJprWn
prgrIc92Tl2RTVbUu9qJtPZmrgT/ocvlWF6yUJxa1kmKAmZ7JxouKXa++o0O9xOF7GdN5KfKjfdj
CqjlB1eanl5Ns/NkKJM3xnj03pa1kVRmEjr6jmfOXg+2OI+VOCB6wxVYndpgWKPz25M+fa0jXSwC
7tlxOg3TeKIyr1y1c64vQ3s4Nr3+VBNQKESpGO75gUDzcIHBh87errgu0pZwNrCZOT3o1G4sxsqh
bb6FVa9Hj7w2YhdgbLN1k7gPQHdUVGl6uDHzioyjbmihs0wkEuQTnWh1J9nGM49Z/u5rw0VE3m3T
kX5gAC8uokhujCo/BFl83RXa3dCj5tL4WEghXnsxdru8fXcjYCvDSW7McFj7Xd6hIzNW3I0rkUw3
tKRznJMV5AxiO8h+o4M1tVzJuYFdrizv5kJc50FN8vgIrddmaX87TtEtXMYe9ejKq7yvBJRiL7fl
faVr1jKJ5UeBMBTqAq6uACxEgymIt0Pc910fwmPROataYMTmBNubuWp0wEhFqDO2/vCa8oSzsBPi
1XIijex15pIZMAbHpqFb2CbMYm4R+WtXXI0rc9D2PLY3kxe2iyCmbNcSwab2rUchG5SwGk3QKe0I
FFJOu5TY+b3Mig3RFgjSJ+2QNvN9owyMU9ZexbK8S3pUBwk3WhcAYnae+ep3yWvieueyzqiaSIiA
HBqJH7gZcvC+3tt9HjP/XHpKAfSX+BllPItX+fYqX//z4lM//DvyT7waxePKMk7gyuft9vvFp0MG
mrpPJQJdCfBJP6NnzKgonDxHhaGC8f/74rO+KPoO2QRYvepk+FsNPP9x8SGgQlUO7QP67zu/zmNW
ZGhDy0J8FVGb3FyN4/NPb8ufjK3o1v8winHhIdOCW7Cx2XDv2e4vV2sXYHsN7LG76mZ7bZrVx1SJ
qwwHtS3bD2JRVpLQ31Uu0AwYWrFHs76TdUJ8UVUtHM2hY3qwtoWLHLChJKGLNqKp3rUM24Xpnzpb
ElfSsnfOUXYxesNOyUJta+sSUtA9kPreI7zGpW5HeBuJfZvmZjHo9n5UE/qA/8X6HNohNt2VUJN8
bWYBqXFM96Ix8YWriT9Rs7+fim+EdYAdqb2AWLL6aKhdITS8i1u52jpjjfDVPkG5G8ktasdIRtSc
lto7DLWBTLI49qwkZFUAV9A2rHaVQW0tGesLyaXziuyI+4DFxmLB8SKMnzMrj6Z2H4MlKE81JPts
RU2OIhXCYxVW7Z2LVVVjgbJq/yVloSqq7tCqDctm1RpT70DWFZrvWa6Q7xxq130NDBSkrYsEw9cQ
3cavrdrfGiXLYaHLwuSiseBR00Lei/lMFfjBZwEk8vEk1EYozf6cUebjsCrKqt7RXuSyVPmPidom
5zS7xlDL+smi2bJwVrWp9BnJQWjivlU7qam2U2sWd7HaVyO1uXassJPaZW211Qast/igKfNg4e1Y
fMkrQawTQlIUYJio9Q70LS8psn8SlMAPLM8OSzSX7AVw8TZS23XHmu2K/hyxdpfIycIxeYp62udz
FvOsH06Rmd05amOHN30yWeENVnkn6DYlq7032xttlC+O2vll69Mk0DyX/PJkXY7EdM3vJAauCWjD
PGyvrHQ8VUOC6agOYZAnEtraT5SBNvEQ2IGnYIM97DkMVAFQ0yYbjVHQreqPCcjCIxRNAGF0Un/W
gDQalyz8FJCjB+zQ7extVuCHQkEi4JA0UW3ACiERmnsfAZnUVQd2EpMDpucoZwx6fzSFsHiza5/B
topDTBvGSqvwloINJAAznUJoNFOi1laozZwMdzowDpFNHhJHkB27xlwG4ns7KtSnU/gPyaYqAdBq
wI1BhxDbB+sBwChsQY5iICRdYUm+QpUwRPTr6BNq6j9hp/wTgsonLZiwZPbx1agwqpoxY+XzViys
tAqX8jcsq4xWIsJAknWavm5noukKhX6VnmPCbnX6EXKNxvbJXLS1PLbteKlEBbiO4GBhWMpjZdbN
DvA0WZNPcCK6nEs4rYqtMdskJM8+EnOTK1Nk1bps6xK5X5xdXGQNWFaJjKE+PlwGAW7XeXqUgfXq
pvWO8w0azcCmarCtTpl2ClKTAOAMUDx1bMitrAT1tUnvBVYNsqeOHvahp4IK2elF0FfNybKUiViR
pdWtCBY6urXLgWjwj3aHm6IjER2bGEa26RDWwQ6JFbUXgPCsyCgdt5EdnfVMf0plT1SzfhjQnG6L
McWjGBD9E7c0rQTO0SCLi16A2H2rBs1c4mhpaCSph/w+NfJh08fW1iIPcmnNNA5E3gxoFsfyPHvp
lWVCOvjNjVE7DUntQI00e1Nfba848vamEXTUGDhyn039g+ptyM2cWRcx2KqhJ349DW3uc+Z0h0F3
ypdCtBrnr/ZB3DPB0x1OQl5OrGTliEtpZewG1Cn04HVRv6XYe9py9EdPQc0rmF12XxDPhZxU9w8d
PrkDgdZXBfFjmIotD/GbGS1E6d7bdcl2LxJg5xy/yGoSQbCBvb53AkJOCnv+OgcFGRQd0cF2F8JO
DOOmBcncVnpfbPFYlEsYYjQgvd19lXjJN6M3xfMyw4nOrRS1O9GDuKcDdjovl6spL5+dviJ/mtIQ
l/ymprzok3tI6+lBj5J1HxM/UlbRQ5eZ/8PeeSzXjWXb9l9eHxXw5ka8zgGOt3QiqQ6Coih47/H1
d2yqMotiqsjIuN3sppIHxwBr773WnHPcEgLiEF9EHlIhxbVX+OnEaSaGVS7Lj6R/aB49/eqhM0vF
A/AzLzCNJ9dwYDAu+NqDOjrtja8a48ruJNqeTKU/OSWiSPi1T4JfkMQ2jtAWDAKER+/OiFmG6TaI
81MroHjjvDU4RA11s/p4F6D+/jocfTnQaTz27zcBrTVnCVqBU5amR0LJ7qhKFzvLvlIuUcpMDj/A
lG76sVyldrJp1BBDqkooVL6nUh0M4rljJ7kiA/TarOSlRg5Bh+eKedpL0ZmcTXkE9Nk+mXLAdu3P
fd1vNjC/feeIrixF1w2i9hBuvD1FG1lXRK2T5KcB51Uw3QpdUVj8tJI/j/8TvBS/ucg7Q55oi1k/
23uIxYgMsN79DvSuyylLuv5UBqjKCXPdMjTQGXxVrBuQ1QFS9Q8ScS9XsHsZaMlb0tewokykpfua
fDXHGeeoubvqQs25yVmVuqLnSMkoTSd8zzVIBhVC9VMkRTsO+HznKs+NmdGFmzD8XBtK+pS0Kbnh
QbSeB1rrjWIuwzRKlkmrPUu1usJtTDCEVpmYdx3FLSoEuyHZaixFbG1Cc4u59gVt7xMnq0Vn4O8Y
rfQ4zRYqAGuSNrIyxEdsqdliHvG3BQrhIqFDo0WJgi9+p2S31cCwyFGCg5GVHCLNst2YykCoBEuc
Qo44XZlkWcrqGV8l4RoERlDv04MvP3X6qjOsLXXx0ZawR1mDspli/ZG0vRCFNJLdkmBajdnIrLP1
GHnMsKHAP2LYsqlbYgYyZdwh/HpKIjV8pmexls0q88hgOaoF2QtaU60iDdtUp47XmWmmJwcNqmLO
476ymp8+kv96OwBfff9ccj/wQAovLyNnWlO/3nUYsYucf2tPdMCeNKfJvLns05MpVeTUN+HXoMEV
QDqtq5ijZ0evXsT0yLeCNjlMkIQFzZHU+QVi/6NR2A/4m8JVkxnVqutkfZsZhLYFERPA3u7tpVzo
2QbxBxQwJao8uyZGWKcQyaT+oNWvbiAJjq4SNky8QHMskK0t8rJamdn8XBfmkwNAjlkeGSp1pt6Z
6sTemYG21ioecl4kNfBucG6aD3gKtoOvfgdSA3tsoAw46cbMx1vfiQ8WqRYVkC+cENwhiIwn9YYU
jmMShzdVZFxDL1ubU/tgJ4m+YN8oL82qYy8ID5P+Xe/aQoKuxZIn0zjyUNA/SdwTbuloj4omPShh
X3lVO2tLQi9W/SwR/T8WS0Wv1zIWfifvcY1bpCf25AS1smvbw97CaDgofcMyT1snbW+1oTw54Hga
NIFoe58rBHu5ZS4xLh6TLid0JjmTkH6wcnM1FLoXWhHBULnlqk50lZRMiid7XhbNtDRTkt1LNjSF
GXAu4WHsJedqqNofJML7qMnJz+/wW7Vd4poAE1TkWERvHsxGWwOj51dSgox4wJmBGTvUpEMWhG8u
UYb7omihukQX4ncYWRcrNZH2DLG9cAhQwqePTOdWFcEEzlanoaewaqb+sGpZ3km1L71OqmIvTUg5
JC1zjtFKOVG5GBSG1w0x/YtZVVYxLAPMZxdiBjZB3qL3rw65jQCyJUTnnJZDuZlSa6cHw75USayH
XsZvQ5qkO8iomkvaXw2nhNR0Yw36Y0fLxB8uprG0oEwN9ikbV+a0KvSNb/X3NGnQoctH06jr5ejr
hzgcGkK4fH/fqb3lNnidXQtPwHroMYKxb9gUE7jMyWRo1bMLsQqMhhYukt6vlU+Wtk+eVOF5ers+
qKEzYVtIOrqo9BSbY4b4auzFaPGc1EeSFH4Kr/9rbRCTi18HKL9UBqE6/vV6SO/yjMpQFC8QCvrx
GvxHHjwM+s/Ozn+9kOit/+VKeNR1FQOWZWFW//VKQwMlIJb7EfrBFCzLaCRYyleFB7bYhoXEPTf2
oOFIMygws5OkaBsLosUQ28VYMAZe10Ug8AMX0tWYa8g5tO4LKTPnQrZuUrZvnHpIgVVvRiaXXt4G
K0yvX/NYv5fCtLwOOubxBrHE68zoxMB8wcZiOWG6Rd3hr/NWs+4ZJ96Uc+rRSdl1GlZQTUUrOG2N
0jkPSbCvWbYtiVRrNedhkgTJzR1L5T4ra2im/haD9yJOR3vRGtnTLE+Gmw7BYzU69b0a+GgQGy34
5Fv9td/yc6F/+6WK+dibpnxiIvCoif852ePXcP422T+HUP/1V/vs9d8tHLKUskcOkonI+hu4JItK
u/ub+yFWpjcfwHx3/xHJR3yPGkwnQ71EOplG7VIOJ/fji/x1SiguQqAxW1LFYPrz67c0Wg0TVJ1P
4UD0a5/bIWNPcheN1ie/hkh2eHOPi+aUoVlkIbDUOmxNlXcXmuIIC8Vcqie2Mc8sat5tuiLbd4kd
xL1f5Iv7ren2h2/XkRt+GZdPjHy/8UQ3G2378QdWxdzzg8f69Y2+uS+cPiLwMKCMtCtQvC4Wpptu
nV2R3LQUQTArZc33vFJcRFeLcOl4Zb/UT/nzx+/C+N27ePPjGu/GpqnfpLYKWOT0MG7VpbVoV87F
WjCyWoTe+t5wD6aXrZ0TKY+b/MbY3KL/XY8b6t5iXheY/D1aZ57jSYduk6+bc0jjfhF4X4pFd5Ld
aW1snW2xHzb1Xba6+fitv592ve6g3771dztoSW2itJQi7ssFoqNV80Ii7a3i4eD2fC/04Pytsl2x
vjwflt0WwPfoxjvgkrv4hEnG9Zfk6Xz33S8fvyv11+bnXx7393ksUVT0tWXyrsKtswjdeUNy1m3O
aAVizgKV0oL05EW6tk/VRv1KI2358fXF7fv+rnr7HL2rNpQaaWpKdIvyXCytYdjPUnLqO7n4ZFES
VeWj67yrOjYe/L6f0+nEnnrRD8/yuBnMbxOmVBlpcLn6+FP9vsb9WR3eHyYlBB+aUcUd6WVw3f3r
Mrj6v13g3ZlPGwFMmWT0nkC2qjF9QOezafAnP4wlHsQ3j7uUlXZuTTxoRXlCOb0qVYgH9ie/ymff
07vi1igpBFcrbk+j+FVgx6NMcj/+pj77HO9usA4jYZc32XQa+tGNzBN8FJcZ8McX+eTust5VJdMP
pInmHKvBaLq6ky+TtD1rWudaQEvjQT31ZC19fMnffi4DIwSWDSiM7yE2tmZpfhm13UnPftTxKtFC
mnzrj6/x25/nzTXePTQpaVlSFerjCQQF/furLPukq/DZBd6VxDnJRi0uqv4kU7SRvCVa+snX9Lo+
fvTgv7uPw4ihj59yH3M2WOD92PWb5MgRwd3VbrhEfrPIfgr2/+sGR+jYP6w14lO/eXQU+n9Kq4as
UQ80hnOqKrnwC1yoTwhUt/3iQlAb/7AwlpmrLOwraXHdLsWqfnmsLtqOUzv+yOXULja5G64/e3u/
Xcjfltx3N6sd1YNMeGh7Us5iIZcWWM30ba64i2Ste/f5Ykf42f4HamVig++m/bAYPqleqihPH/0o
7373XmrMsHIm9hIeAGePkEbVXDj71Lt2TuZBW3feI3DiRU7HdlWvyzXxrp9U6M/ewmvcwpsfSRo7
Sc+Hsj0BEVmMHp3N+LuxIiBt372Mm3KZHay1tJZ+BI+aS+rtGajIy8dP1+vB64NvwXp3nyS9lulN
zq1Zr8YVBPBFJHZ128S97bfjdhuJTcsJhNm9vCq8bFWurQvxUl63DLfAhr6mn1TK14PZX97Pfx53
491B0ZYcZkM5JaVaEqi/hpg+rhDVH6K9sngOtpiDXXtbbmjqHUbXulva7A5gNq+T1U3kiU3CvzcH
/4zuxRz9zxav98Sg/mdW5ekpe/n//w+9Gv/FTX8/uOdP/xjc423B76KQYyF+NZG59qdlD8UaU3Pi
3DWDqb4q2Cp/WPZIvrSJj0espr9GnfD8/6FYM7G9YJJh3I/E45Xj8ndsL38drGOrwUUMv8UAIayL
N/G2EFpKoKRpbRRn1Wa2ohIojGh4mpYjER0LdQwUWm3JKtWmbZ7lKiiWPHzMHGuHon1lg8gtUiIC
umobG9J5lkjWZQbjprFVHNLIKs6oYr5Msv5gO8BVyISeFrbULvspuTVrItLllp5qEtCFLGLragyA
Ey3qOS5l5uCmjOvFwMiijPIJKGbvEf3ar0PwBm5ioCfK5TYkGJZBXMwEUgkmT7GD5ewXiOEh3W86
c8g8yYdCRN7aYprwq5DcQwdrbEev7+W7XmlB10/LQaXP0zpkzZoyUQNGbTybfE7YDLxu5QhqRQ8n
TB4HAkny+NmJHHs5+WA8ugxleDrheMh1f5uWiHrkbFwWObRVmfHU3jCk4QCs2BGpSPQP6vgOWxyq
6bTlGMaIvCB1wBCRCcOsr1qzu8Ulw3gqqe6EG6mslIGWxXDQR8KttMrvFn6Zd14u0UoEp1K5Ts13
mlTdsSxj4pmnIl0xeVxjb9wZufoli/trh6ACIVI36LsqG0uDxjkl0fde0Y5BPp9mNevdztI1rP/1
Q9pKrt8VAj5ZHkjDBUwqkyLKodKVZjx3ReIzky9QT5dtrHmpSoh/a14l/kRrbmgGT52DZaVn9goi
ynOlkoCnyg30LgJQKmldyBnQz+iMonCvaQzfKa/7quee8bvmUkUmyeEJX42MV2CpC40Chosm7tZV
pR0tI0xWrVNIxATHBd5FWqWltK5j6ZKMRXOc8Zvy6+F26GzzGhX0Eb9VsawntpV6RoqwmkCX14qZ
UE29bZYxGfVEVmFBCZrb0RnDVR/nx0D3v05VP61SopkDXGGe0cpf9ApDqlYxZ0hjb6pak4Z5cBXg
CVFG+urBeKoa5zvkkxIbTsN32JjboIrAIJjGoe2ac0QPW7oqCiudX6YxTTYWme5OUn4hqaUi+QZW
KGzQY84QZxe3zmORyNetUX+3ywk3KXmhc0ByvemVzbBzWmlVy+q+SMNTVBS7MW5OeZFe+hwbB539
DildN2xN3/iBFadDRDnAX4k6+qDEZ/TzjWrOx6BClKgwoVwFQqg4aCbX1aEB1OtBSBlRJRCHol1q
47ERUsesc+5yRHbMUPe1WqObbI3tgDoSYMKlm9WN30cDgujuimJHo771VNVgBBmxr/bRWmpNe7CF
+DLBa1OgxrQUy/Wn4GYm448EDASboZBuqjWYUD2z8rUTKGgXhcRTY9/MTCnYVEL+qQohaCEkoVLH
nZOXSkz0OILRjFODjYLU0vMfBYrSTEhLyaL9MuMvNhSoxqOQnxpCiCrXvrWw4vIbU1H/AM75GI02
ZUKWL1lBvDskPOVM5saLNlvjUp6Hl65hFpKZ4zVBQ+hk8v4rso9VpcsPU2QdiVJcMWJh3IvYFQNG
o5P0EdznIwGyyYD8zp7WvV9g0KsvTpTuZTNezUKBaFT+KYYZ50VmsingF+/wM9/ZkKm4MlN6R79V
ZALCQ4NswpkR1rIc43FZSepx5DG4WIVzjZZ0M6Y6gXkpXWMrVRdqGbNZKTRCDKwWQZCFvyNpdNeJ
qqewIq6vhcy+MNN0qdjFj8B5juDzNa12nfCdsA4orhrkKcJH+5K16koOSU/0e2YmpS9SOecBo3Ef
r8MK0U4Up4iCW6C5vJxtkx1nGOQDG8EpjLH/Yhjq97qk5Et+0GljMPsSBB0AAKEXQPHyOjvfOCNK
AuSmAZwFmH0SsX0QFzF+MjGxvsrNHG0px4tgBMIT6ONKCqsbNSJCE7aeG4RmB6RS5EwGzTNTfVCW
TDhqw5oXfVWxtWdWiWrspjPGgy43sStpgEvAhBhJecJrlG5LZTgH7Xgtk8zO1HzCrmHti8rZAPgd
0MdM3Wro1JfE6chit6wr/CwEFaakIbxuI/7ZT+kcMD7dT2El/40Okr98s50yyFki3NtkB4Rp95ft
lKZYmGuxC72j2FkAbYHIMh9njyMmor9sp2jgqjbFRkZ2SFzu39hOMZH85dTEK5GuQgQDKeMYR8Rb
+XU75fgSkzjbLs/5SBQ+KOganVuqkiuZ30e1RhxpXCv4SGpEQgl5hLPRbitD+dGzMELZyYbdIJAg
bCtir5W7TVAESwZTaMNqJPNFzjBPBAnFVvxt8GvQriQXIEKHMJOSqLq0sGvSKpucC0rFO6O260U1
aBO3+XygUXQXBC15kdG9H2u3LMP52VJ8yS1GdhkdKa5LGT/pLksR0OiEfyWOc8VqPIK/UV8Uqe5W
AZHct0DUNhg09nE5Tit5zJdSM16zUYFpzYOEm/fUCwCPXq0N8aj1PHOZVd8QXorqfSqOjXgsg1Zb
J7ITkpjbPE/i0SXQrl9a4nHWeK6DqLrRnQl0i6Bu6fWiqetoC4bhq6KEljuMAw0bkcQ1c+p5rR0j
0W6imoxMMb20poWMIsF/rTii9liiCqURoLyMwgSzeueIShVTsmZKVyxqWCSqGSVpPYj6VolKJ4ma
p4jq1xHU3VEONVEXmUqjIRK+P0omSLzrovmuUkgtXq4TlTUSNTZUmqewy3W3EfVXpxDHoiJj0kTQ
aaqLQlTrSdRtkwJuU8jxfheXKlOOlajxsqj2kaj7OFjUNbEvt7pYE5Le8WwWiVKsFuyFyDtm/TBZ
SGSxogBwX/ksMU3RXgaWnDYlKoolqBBrkWJE945YnXKxTvlixXJYumaWsKmaHlSWNLYIX3WxxmVa
f81mBh09yx9XHslES196sTLmYo2slAl1Kqumz/LpiHW01+pvilhZ0eSq20h4P0Ips5aV1TnGcsob
kp5npFV4Req4L09BL1m7UjhJxldTifVqMNFKcoHw0bP5sYddb2gQca1VXY6bViO/09AGT/PrR0cf
QheZJFaQkkswuC874OIDDb3O4Cu2QeVJWTjfaWWhLHR1GgBeWDd2Ze5bZXpJwyrxsMRdp34Y7M25
X84ZnNlw8BQnpj9oIgdDHfE9nktn2xbW99Ei6Fiz58YzeqfxCqW5QvjHV1wfAYvYHobRcldYbGqZ
vi+qBG86+Trc4Xa3IMqUvxh7coaGYGL07f9IS/+CgK0jIbWVz33YQWvviDuE4LGvVBCQs2xWm6BD
c4nk0vLz3RCr8EgQ08bkwAmwTgtGS0J+PNTGiyz7yW0h6yWyVBuDqpKGCIv/WZ1egy50eo4frE7h
U9M+/WZl4q/erEzAUE1alaohO6/U9D8V+oL6ximb+C2ZeaTQ4fz7oK8r/yKXlEVJLE941GRe8N8H
fWJLVbbD/1bu8+d/K5vUeNfJYmWCrMqrsEIaJOJgVPt1ZVLFxeFrpReZugVLBwWOArmGwIVg3VbS
GagYRRbBeJKCRawne1NNZOOBDmy8frRRyAmzrHOL6yV1QUPbIpyvBFJJ5ba1jZ12BCn7S2L6NgNH
qixDrTOgeGfg/tgY4KoElEdDo91A6WHzdJza7sWC3jNA8QFuw6EUrk816s8mYRUBUDXkUgWx0lHW
bWJoQCC09g3efTjr8G/ipYQqC45mfzDV4s7C/TYIsNBU69E6nNWnFOYQYR8PodwbK8v3O4IokIfW
aNNcgpSQe5rNzhjRgdtwjFrBM9LiZRLGN1DZS3fk1L3sSwCoigivhIY0mAIBzZvbawKVNAtokpSD
T6K+nR0t/U4UZ7meVDRVUcBRQ5r82zoteMy70ZMFkClv4mMiEE0RqTgkWZapG5aW4VpjMaHVsZfk
n+1CAXkKoD1x+JOIrsnZHhdXoQBC5bazU14RUUZ7dGBGVZz0aNlcYXmTlp0w6eOLXctwphQBnJLU
/GoM6ePosKjiWLlmjEddEpgqshczd4JcNUOwgh7mDQJpFdm4tjQoV/SJ9jHUKzjt5gbhv+6pAolF
8ipiOShZHbSsMOb9BwKgNQuUllnqdFyw7ZcCs5U13UsBdwuBjjcE9UKPEBBPAsslw+eK5LFh5gay
q8jDB9hZ12OtQ4OzwYnNWrcOBOirEsivFl2hNxBJiGawdTgzgAbLiu5cFDY+eZ/fvaFVITBiMjwx
Ba4YIKhDHTnRFtoY4RcCPqarKNocASTLBJoshlHma8WJHKYDkjCLLUuDswGemRwXj1VcRasqRdXW
RbU3EultCvYZoiCm++DQKkW+qODRSmMQ8UlEPwFOa/LyrpP6ddHkx7AoVro5AvXOosYNmt4hMXrg
hCtIbLbcP2C9f2l61ZVAtQ1ROZEMAL0tN4UEmE81WZeiGlpQW/2NDfCtlXcVPeb+6IOCm2QHC0J+
VkDEqaDiyCc4Sx3pFD0QORgInFs72h+CL6fONPRM9jfcoJHvmhIpwxWuwEKQ6RD/lC5S+IwuEr60
TO5/hMmYeGOmIScX5jAtab6NAJIGsHdWPHaIjytQCYBj1kpubEMFF8P8CsxTcQ4u7NzB0CBB3zIE
WQ+l1rByBG2vJgMjEPy9QpD4sl7/3hkEH3RA+gqtf6iA9s2C3ge+VLDShsvU0cgiEqp3p9ZsGdOp
gP/IRVDrvRqk7Z7aI3KFS86dY1WpJIO2WyPHT7fSCKcw7no5se11qNekgehTybNU5QR9WmM9L+0u
GJWlnUs62OAeM9NGB3GDNUMz5ugk5dnU3ThyprQ3g1NL2r4bO6QGRp6GD0Qaq/05actNEbD5K2OM
jIWe6KsoMoJFRYypUgfXja/1bpuMO13Pu1Ut1ePalsy9YY2RR/tVR+duPlekAOOLNCEHxPpDIhGR
HPZktCjybO60gps5yQGW8b8z5TGKr6WvP4VxrXqtjUkHzf0PMOx0BkKR954PZIzIPdLIFhfTlIzH
qWy8MXIYOJbSUc/rK8nv9pldfKU/82PGqjiME7B32qq0bozUbbRxR7CEIQ/ETljlU5TAq4l8vD0q
Kac0odnNtTg71PjkN85BiqfHNFR/zIrMqwTGj6TPvuRy5EnzTp1GAt8Nwl6C+joRLWQ5BAMxemO6
T0PrKCcpVo2xeEIvsw01jVwSiXFsFc1wBNXsZFoCNGE4nEQk6YrGuuoNljHjR+2OSKsw746+y7dQ
bqycnlhDFsxa03tqu14SEBNZy5l+Eck20m2beLMR3Ks1wW027gYvlDhT2YkzcPG6g4PkbLQZCfI8
gn7ThohgFxvHbTaWw5L04UNpt2jH7R7BtmKdoyE/0okAxVP6Z4d8nSZr2Ju1T6YzTEtijW8mTj7s
IDmd+UDIaOp2d35HRHM35Pd0yXexlPAeu/kBOT/+s87UuQfmYkF0n+TWRfvSOM4dBXoll+khycJ2
oQbahtnrHcEbaymyRhfvzJbz3KW3y2vHKL5FLHQLDrYnXSa+xuC5g6rhr/1ZqV1DrreBgLhO7RAs
yECPCe9Jto4xiUyk3I1ttVo3RjS4kd7gd+oueAhXudp+6TNlUyaAR/UOb8rU6eMykYFUyYqgmyY+
Q7eAf4W/Wnhmgu1CkpS1SU9u2/KFuiQAnuWyiQlmaHcd4OxFZdLTasY7/GkyGUosgpSslRQBz5MG
ZZ/mjulOgjVIvGS6DxT1YiotsdZNKcCpcradVdJ3kWqSAEwP3I0tDdFpdAm7GAd8gQUpZxxAkaPA
GcNmzlQeCcO+qCTZoXCFxWEW43NeBPcoPs5Nbj2j334eTXlVNiR0J8EDKcCm12rR1s/KB7mwN5pe
3wz4j1ECEwU0JTC+w71aD09QJdedpb44CSGEXXQ1KxZQhVa+yXVRxCUDxAMEwH+23T+33Ug9Pth2
F+lT/ptECJ2/erPtFp4TeAC4Kgg1+bUhRIg5KgsmaThUxD/9MV+zyb10FJ4sjR4N8gymXn/M1+x/
ybSRSIGD4WwJv+3faQiRbve+IUTsJgJ8HLuqYZIL8U7booOPrXmOprPdBvWFaVN2HSml9VCkurqb
hiR5nJTWWtltLx85cvu0VvuQQ3oP8d0Z2ptQLlLiwpRoTwikv7Sktl7mEXRFu5JPaRo6x15T/IMB
hv2KTET+vic4w+tmOENywYkZ8O5uVGfCM1tsSBggkufIl3NSxwbfkycCduqyGb9mYRjsSCOY8QO2
scfxE0wcjSw21NMXR63cMNWeJj+z4Nko9qotpGGfw2hd1sWAVrl1fHhN8pl4CnR6EchOx6wIX4+M
DY0OkYCutagO41nU1Dh+KSdl0K/anDSceQ7YYJSP4Rj4TO96NxITEAiY7hjnyVadHWhBuqVeAiV4
kJNpF3VavdLL/MoocPFEciutWzOYwYd02i4MZWuZMnlTcDlsiWJwPGIi9XWS5vqyV1UfM0hvL1iz
MbFmJTkPRX811zEDlhSAOsY76OoGYZIJ8B81cE6xxoa+n/h2pE4Kr6Oh1LwsUpRzg7PXm6yh3FZh
s+vU+CsxyADlYc2JwIh4iaWFvP5qbl3yRcMlpa72UimRV76pbGJdWkxSHbij0a+zNvGJJerKp74I
4iOEzRcpKWSRFER2kUFrYeDQRfjEjanRerZw9CbjuFb79Iv6SunRHVA/NBrPfaVcCtX+IgeNxZaZ
pjmTyFFtiVyv8P+UXMc0QX2mvR5Aj2ITaOXZvtGUF8MoOtwyww34ZNZ1VjQ3kcGEZpl8tgJnk2fF
uteMQzw6R5IF16FCEsScBtARfPMy+UwzguiczVG7MFtoVzpOp9mYjgZbsDKR7piCpx4niT3eWP6l
879mav1NG0h1ckL7ebTwaBvTXcUkBiBEiYKhbHAC5DhlT1VCD8wlpQfAs83QEKk2YWfgbQ8O2GWe
CoL+DwpxyR1+D5ba0vE1zyKs/hCYarT9pxj/LMaIWz4oxtFL/duUAv7qz2IsQ6xTaIOQrPW+GCv/
YslVX417OuoF6uQfxRi8vehMcAPgVdR+yfgEZucIUr1w/BHDhDrh73TnRcboG02T6IFYhCjwWq8Q
POe9zWIGOhuqRSSfWRYYZ2UzQZvK1yL4TlT4bDAlr838ENm9iCt31MNQ8t9rsGimkp87qJE4k6/T
juS2ZnYBTozrJgkf8tpY8+Rfa7l9LB0m0I31qJg6z9hIUreV7FvDajheEuKhBh1As/w2Jt5/0Tly
6lYVGgQ5Kh8J7Gbjq+4N4ACZAseYSqzE84OqS8R8ji19AeZnY2y5yRxtGoKGFnE+PyiBtRngRRIl
0IoUmscYENJsFwcnrh5IgMgWiaH+kNiC8nB8wbxLZl1nrGpHWs3WfIkcDvx8snXpxJ3LOZepNsQt
0MIYdvxh20aMayV2jAHwD6ti6txQPKfM/lINdInKdrK2c5coi8HX97Gcksc2SBsgV/TMcShsOoko
SR0ZuNIvhtK8Hsruemqz+i41pqe0pEVuVvYuCOV7OTP2tlyQeSyPxyApDQifxCEYcb5peymGgNnt
db3ZsgoSPOgbu0n5Torl18Dv7iZkItgJKRw0ZQgvwGCXIhcAHPyiWfTDSRG7M4Gtkdmg965EVkrb
BMECfqHJxGOCMz2tMWotyz46dA3fWRCkOhFsQWzWRP4ASj61Ywvj1bfiYt0ajMtJc4wwmOml3G4L
G9lJaznoT9SWEMKqkGsO0a/EmeaVPpP21YBMwlBbNsyCTzO+smoytcCGmeqMQZmjcoZxjllX0SEH
dZML5g3iFdXTIN4xvISIow2kMs7NMxWUQW5S/RCDKPooCBIET8cSZJ3AwPo7l2D7NOskharttmrJ
a8gc/KXwIR31x1yQevqxv6FbDglHUHz0yvgeg/Xh/PYytyS99AB/AhOIDwhcsOSwgBJScWtBB2LB
0Za60YM/FOQgJ9noYf1oJ0a70iQ9XRpghqaWuW+pk5YKNeI7QT6E0aTDyJ1DEycXpCJZMIvSQDoF
jymsamBG+Rh/1+EbGXCOVFQfzKz2Zs5GpSiveo1GIQ2Ku1LHRWbCSiJWFOoHOUqBbN77Isnb4L/Y
ynAfzNVVBG9p0qXmMDSPuWE0oOikYi9Z1hx5vNQI6jrxJNKWWA3pj0ghVvV6BJw48IsTnHrdTUWw
TcJwP5v5aa7L3ZiXwNuJkE71ns5iNSX18z/rys91hSHoR+tKk0RT0f2mu87f/bmyADwlUZmFHbKW
ali00N901y0gyNzrr6uHGO7+0V0nLQ42syHTlGVe/BqN85/uuiMkdyQ+60AoQWb8nZVFeZXa/0eX
KVYWhtEsYZwodJDU5rvuOqkGuK9rs7iMtcwputcHcD064lB92IQW+5J+Ah7fyQNrj2bIeznN6Byb
kZVsU8reQ5T5zZHZNuICTatuYroDG2PsmtOQ+OX3shUpJCnlKUytiRGlQsBoSTAWk2I6vZemztpz
FWNVlmSTmBjc/lCNfYUNV+7npyQoHWhd4TW6I+McKMT1qkE4rGdS+u9aezJ4BBnQDqrRHdsmtLaY
UItqYXVSslKMqfiCI5rULa1RX4imSB8MOc03gdHwKJd+89RDKFmGsh0trdoZ1lYMnYPo5vJqYIqW
dlGLwCgovX5Q9P4cSrnePxdNEOp7JffniSCFIulI1Wg76UUPnDg8haCtKop8k9dnK6QnbAXKGN6E
sUMrZ+jIWZjpNFjDyQZgRYRzoDMlBrlE2m3OzpbICs+gVciRScrpiRPrP32Le7XKlurgEOvvj4/m
II4zkmUU+HfNfIWChCWlM6ebdijmJyGWRJSoRjKmVNaVKFCctV/2wTfupMiV83l+8ptwfjGj8aGW
qlUeRDvJYlCbKTQuB6MuN1I5kBRhK920ToiKoK/RToekGEv0ZE7CUD0rCFSOhiDCU91qKA37jO55
Ut3rVsQc3VHuNLowm1IiSDOUh35h2DVe9rgxb2wM8NtWap27Uq7ME8QB2WM1cWSUO0Zx6zdyRos5
db5J1iDttLS1FuWYnaEaSF7d9uO6lxjaL4e0qlpv9KPyhyUVzZbzZw6gzW5oBs7m14Dmhjc7Vnw3
0rs9WLEeH3EbxI9E3BTuMIu022QuHudulPbcvIGrWSBbSOzzH+w5G+7yuGYcXowk8EVjeQl7OJE5
9OnUy3UdQ3TTAPDuoaq0TIWMxgtq2kBukBsmOBJ6LGQyQBzbWeOgXSGlsCEWFabyUhblvKpE7plD
A2fRDnhG/6nFr7XY+HCP/wWJc/e7Tb74sz9KsfK/7J3HchtZloZfpWL2yUhvFtMRA0eABrSymwyI
pNJ7n08/3yWJKhpI1TXgAhPR6EVHCVICeZH33GN+Yx+ZmqryM8kK1JaXJowKfopCr5/82nmW59wm
+fqRIytIUoB0Ju18bMZsOy7aEfI0qkmzRUhxirf+QZIvADavArHwcwQQQ6mhGNiaiH7MC85AL0te
W5Zpsx5p2omCkMSbuVby9ID8kkCCSuj7DwI2pOsI0MqqKuvii7z4IAW8TWGGer6WG8P5hJAX1moJ
ToDjEnSSAYilTht9haTxeAMIjrGZqehfQtvyvuVZaJ+UTDhPFdxHsQ8sjf7SH7RrbchaWqqDh7tc
G4WV9r3tC9MGYFC0LZABpABaHbczM5Liiy6MkfsM8jxT51kXN8A+JJTLMfdz069BNDhzg1JZnlXp
nRHrHbbOeXyBKxFDOyWPYnjxbq9NY2odKRYiZ1bQZdqF3ArxszYOL0qhh5bkENF951JT5AcDxbS0
8BYEl1sLtTE8a48NIa2mMnoDdIRFIJm1kzAASlbuMBToWSUBqj7KLB6Knz7ebyhbrhXE2xqtvYmF
8kAHIPqbFRE3BW31XLLyEhytYZ7EAV0GJwGbM6rwcCRJ+6mHFUgP18c1ti4gf7Qk9EEsIQfX2ecM
B9dVCvx4VO12hp21elyn1qdBkb7CEsfMNvRBH9W1p1LvICTKY+FyHFAGzpnPcwkwjkpklp9KvcbE
ybRT/xq/W6aqtBGou2TsSGIYmBauzlR4UVPOdKlkdAfGqMAT5cSXFGX9Ig+6fHpo/0gbxEyRG6v+
+7/Ud+Uq/hZkLxhT6GwOHuvXj1gxlIXnIcC6rubJhgmicoN46IQJ7rRepku64RQOcxKDOS3BiXGi
L7Q5KNxp9DfPukEG9WJPgZuD3Uz/1DENQwYkZ7/pYSLZ0jVe5WdrV/VOsHvspxHaUkhv6DTzrMiZ
F63LoE81AQW7tnzuWaV7ovAbmVHBlNmCc+fSTrTV8XvdZ86iUoHU13W+cO3xu2WguhO61Dju2H8p
YuZ6alkMU6sCXt6j8wH6iqkXpslzAAfHncLowh2nBX5f1OzOctSYCqjqMcI7CobJVE2Bg5Noki5D
xtYZjfxJJufzrvPOVGBKjNbAiLWIxidJCOq/LdZd72jHhYdGBUz9T16XLRkZnDe9LeOqkB/LEQ+a
5RTMLOXw5vc/8esg8szslYFk6I6pmdqjydqLIOKMJCR54pZruU3CYwIBFIwSdx9sYefYbKOkV/yd
FNFubtmLz3zza0o9uV6Ledm68LRvmPdQWnvZbKyspZ40KH66jAVNiA8WJakRVyDq9XQ4GxHngrth
nGWB/VUOyMEAhv3EnXSRA7BVM/NKdsc7wyu+Jx3qL0Va5P8x2XnyRRa80N/URxlQul3YI/7V9kiG
SaTporHFyULIECSeF9UR+ujAZVX0Px9RRNvqSLOP6NIB/YBiJNg/4mtsj2SGICLgYOMlzmqZcuYf
HMmMzF8HEBE1hDQV4ZQSyUYk9HUgg3WBPqAcyhfo0tO4FQcT4rd0c8uwmbc6ybCcuNFSckH+h4rz
2a1bwgGQF4Dk1o86iW8s9N4hkqizpq5lODDBD2T9VlVbnEVSiOYfJq1ALrEUMNsaoq3yvbN677hS
u+o0KYpV0ZKbjsGFVkurhJlJFQ0TpawQu3XRlWkHxrBWZS/TAEw31YOFeXDdmdk0k8bLyGxcIeR2
rWr1N0bMEp2J9GqIJIUWtXQr+fBN3DaEPRoEWEWYp3H4laPie+fJWH4Z4XVVojtSFtUUM5XTRC6A
747p8ZBl6rmc6xc+tI+JrGBQhop2mzanduXe5053GqjmdxV8zZXeFy1ZsYuxC2NRMLjfutKY01VR
NuBph0kX2ezf8nOgyvcekCpabVoxBdv/qbck4BZ4emWxs4wi+3yIPX+ucA+uHJ0HY76pQjTtWjcK
5h2NuamvFljaGC6YWgBHpZ18oia4QBnpOz4W9AIt9ay3i+Naj7KJg5XApMUoza48PBSMi0iFZ2V0
47LpFJQaRqQ8TWfRdMZ51/rHcm2308oOr3BPIECn/ZldjTRobGRe3Pxr4BvalCKN/pkTfS4qytwo
qr8aY3fa0dmf1FXyM7PLc1XRvDM/AsLr0zhLaxP1yAZVo1pdVi79oKrwbtW4XMk5LABG0M5JZzb5
XDX9+9Szbjx3OMaNuZ9D8jgZMvVRy/uh13PR6UG8vP7Cny3TjGxBb21oJir6oX5YXwLeis+cPrk1
zzIlwujSYqzMfpphvuwz169+0rZdhlZ5bDLtmZJnewv+4rnSFPM8Q+FQjtoWeabqRmnLY+wjv+mD
AsWFYUhuGyDbLGdaZ6R4aZpcNaE/LIoqWug1jHuGYvPBR9URUwSb/m9JahSjZZcIdZlBO1a97DQy
9EXsIHkdMQjUo+4k9FHG8UuYq3ixoW59WoM150ALrOGOgF9+8RFAmPmeg0eSiZHwtSpMlr2JXSbS
lUwj+xr1LdpqSh8sak1e4OuDD7jq/oy8/sEl9UbADiCgXFgnVtp/rszyRx1RtudZdsW86FjyoysF
PDguN8YUmOMs7y10mqx2FsRyubARH0J2TefmMEiywMtqfbhEYkmf+y7dEye2xmnYVjSEg2RWZ/1C
M4dNb+IO1PffbZfppjN84ofmVAql1RBIZ2nhH/uRtEqhjZmRMvXCGFlQdxmi2RvZeEz3dk6beDzR
8vqLUpQY1qAvpqIS1SaUllpAiRsUMGMiFfsV67gDLJXkCT/I57oMj4e+WSBvTmrRrAIJt+8otRBy
rGZ+4HxNQpE+lD6GOY4CSyfA3Csxmwl20kuK8zX56V2F1LhcI1jZW3gOM5jU8uEcea4VHp85wpO4
SWPSy2+Lcq3ULJuqvGvK9gKA9awK9Vs58MDnDOXZGFkmErvpXI/YhTJQxgIjbtJX+cZo3Ad0N3k6
W/oDjodXH+KYDAn6qVSgH68ll64M1cwn/wkDuAJ2gNm43px3VnraSxDhkwines9G8w5XdNNegl4H
DCofO1ZzGZjtF1nNVy78G7NlzhqFMfGvTyWE8bJrDTHFaTCWF7pMc90Ll3iJT/KgXbvmeAvmaVKo
9ZWrNidl0eLUwzykp2dOgr8wzXKuScoKXFQ7q/DGJgprC8eoT+m0LGw6RlMHRHORyz9Ql0GxVW2+
a4EdT2lZaSuUlC+VdJjknneljPaZYw/tdBxBy5ljdyKb0RQ4jz9FG5bRihQ4K80zGnzF+0stlhaU
QpeqY//ErRpUXD6rwJxVpS2B6yrSaYef5FDnl7Vlf+oDBHITw2imfWI48z5U46+R5g7IJ7c/w6rB
zkz+HDcpnf7szHcq2slYfMGMAzxZ/jQ8ZD4bJV/7PUzycPwUKSpqim30mQg8r1LjqpRchKBl55tk
ll/6oj/tEh+AbZNYwNbp4ysgUCIcmnp6eOjJ67WgaurDyi2AqwPLLAZ9ib119LmNpQ5kO+DUhTTW
3dTu7XksByugqdA5u2Sc9Zl/r7daMxvarBcl2sYZxwulRIqZdMGbeaizgZcLJ65W/LRqZsFOjSRD
YBEuhz6dQbT4koXqZZao1wCCu0mb6eghVnfU5bMatVVLGi4qswe5Q/wq0apFjD791A/S57zPbuOA
8UCXarM8hiFp45jRRjhhor2J7j7z9bgJm6sSJOfcAKy81FOZsTUE2n6aKFrr/40YhCoy3lc9A8tE
TVRWTUMRHVyQ1q9K+arAcmRwNOdCuUkmX41Fe1lMYfpNnc3tdXWOg9I8o+IKzoxjpKyX2cI/Mbxl
eO4fP+Z1/6F+CZuS3yS49YaJT7xpqh0jAP7ln0mufEQaayHPpFIr0fJ/keQyHeAtkllDEy62dN+3
fSeRyaKFisMtoGwMYHhrm+Ti/ULWzNAGKyG6RuY/on5hmvv2KYJJD52f7o4ivGlkUUW/qOXwrNKi
so+zi4acbTwP1dwI14ouh+q8JoW95Gxp6ynGgGsjLy6hVt/pNOHnpZrctgr08kRJzgq1/Ib3xUlc
pdcBzZNaUnHsC91z2zDO2TnRNLW6Y09rvVlZRWd0hb+MYfrgBFU/yVq16qZYoV0ZHlbbCd4pPpqj
DVKeM1VHHDuuw3Oa7Ihv2wgoa22q/FBxj+vbzosXCMjbyoqqoAxOsL6rveNIkSDAyK1jUivnGi71
GKVxUAndYiuwkuPCck7MGDXmW82t4Te5SRc2yNHT2j8rw6D6FnYu6PVWS9RF27ThSFIUnlpVaoZT
BOYqYJZoes6cyi5hMKVWi8lS6cnFPGHU40HM7n802AhPujj9YuWE3ZqZhd06qI0E5iZ3MQ62uqK/
Cu24W4A7OgfXVEzVqoak6gfzYqSS9SEXZG77SZXdz1I5rmpLum5BcaZtt4I5NGslrKM648JpTRoU
uTktYxWYfLDJmRfGDWlJVjfnKEsyhJDypS2ysNJRrttGWpmKOscsZW0L7z6tnCRSt1SCmnwzWWLR
eeY5KBWr/brJyh/yUF07frxUQ/MTwG5SD4sGjndh+rTBaXrcxDkD3DSYxbl83BnVdVkDSu2ZGpv6
l4TzHg/UjWNXKFh3zdRONHUeOj9TJZvrsbnWumYOThvXmXGqQIR3g+rSiepvZYVfXmPPckmZI+e7
HrPkwkYvAGbcOsU1qOrVL2OXnbdqONGTdM1vCbAZ4Lbvr0M3W1eaczpqxoKi64RK5jg35e+qES4A
CZznWv3Dy1BHFz+9Z0EMKZVpkCjHttmfoXZaC4DDulExPy/CdWmqVwX8q3qUPhm+tooZ/yLNngEN
SlYVOqCof00ct3iAmkZtEH+hjPmUyf41FpILNzfOMJBdqE0CRL8F1T4oZ52OdSNfYuqkCsZtypnb
jifwX6alX595FkdfwAna+6usgh2JAeVDaanIXPbX5RA5E9drjSvMW44Ds/PXpqtjYawmF2WMiis5
UMHMR800BRdC1svoiwsZHn+n8Eg1jr6KaX5MC0H2z2H9D7D/merD49LIIL2rXsgD9IzVWyxGZxrK
AXU48PghJZDn7jHV3LCQNPc7AP3zTsgO2Elzi0MzOZBG1SOkCZALxsLzUa5ACBdIPtjuvJXSueor
566uX+tC5gD3H+gMPb84Q5TLEC2ESk9Q9UMcIScThgRthQuSw/MaBQV0BqYGqbFMvTTn6eDXUkHm
OQ26C3gTTVOUGFQhyeAPFb47wQXivWcamg0KTJjELNa5EHPoiuQuF/IO6ihhREPHNRTSD6BGrozY
XmVCFALHWG2SCqEIWno1PIdmmgkRCdU3kCJAVwKlfFgbpC/MrL7WQnpiECIUUjKuG0U771GnMIVM
hWTTz8wRTu8DH4p/2F6baFrghHsicQLbUhMv8KDP4ZR058ivAFsQkhj4lOZTR8hkqEIwA4pFsQib
4SwTYhqmFlxEUfGpNRtzin/0rWcaPO8YgaQocbS4EbpCmgP6LN4SqHWQSKeQ5oVlt5DyGIWoh2+Q
U/7n7H8a/nNM/ubsJ3I8lDvOff7Vn+c+hzuje2FZ+Hi2k5392dxSjhy6Tah8CvV5VfSdtuc+yDFF
zPdhYzuKKXjdf5779hGwXlOWZZIIkVH8o+YWPay35z6ythgs0EqDhEsa+SZ7bFUw84XkDBecWtUC
7dR0XqExEKGUZrsFoKawN5jtGhKNIzfNz7uuuQHtdGzYEY4SJUTOwJeNsz6F99GGKqIylX4CaEGe
xoNWLVSF0QYmYtmyb4v8StVpzWInghjz4BnHtG++OiOmUpIh36VoUdAtH6+SAOMUt8O1WELwe6J5
WCTacTtNs1ZwPqxoGmQd+DIbIGkDSXeaJupVpEnxqk0wt0rwbpNL31hKVt9PoBVUKwVIAAHaTI1p
kEfXDAkeuqi4yYAk5EkHyV02pVUImePEc2I6FrWTX8gN/StVvXao2CcurRDSpg4yVjOrhP6D2znn
jNUmhabGk95rr+Ro/Jw0+Sega6eBX33HVes4zBO+7Nip09QOz3RDgCjoJ425fT86OG0MQ1RMbbU9
Hawsm+LbVkylBj0u3+wXjureRaAWmJtngEUrwNPFORpGX8OAE8HScnca+Ek574zhxxioaxBr/AfU
isD3YgBKWmFfVpoNhE1qRHnp83kuc3jGiigTMRYqc4ZfVr+QQT2oMDAaUYWX48Nog4UwrPY07RkE
WqVlM+kmSKZNlaNsgvZ/aaNt7XhE407Vv+RNfN5IgKkKPZ+3vWrMquHBRRAcyYp6qrreZhjSn41F
m96K8Iqu9RFtAbmOER1RL91yMCeWWchLFIAgCo4bu6jciQKnEtB2RkqjMwKFXrZqIXeEYXbVyIkM
8Anwsx0D2y0WRpwQ9rX0uFHMq77zvuDc7UzqpDr1yjomSYL9YUP1mNgVxG28KdBNGkZ5acUptVGC
smsmlI6Dwvmcu+FllKBoU1TmqdvZANwKlJkBzW0Am2OF2mYbq4f4U/USw0HJHZduTderqyNU+T2d
XFNtMOtWxhzynYf2eO3dWK7FMwV1fqkmyXkN8HfapOIQ70eJtq8FW03XT6l6r0zF/5YiuzhJ+8Se
G5V5lpjq0rRtYrvnXPRpVYHBVuFc+mS7HhACXDMYcXQuen5xf5H10gouDsaeXXRHFfolTLQf+YAJ
kw6Lk5HlA0FqXaq0YsrOXredIc9DG5kFwCrtmTNUl1qu3YcCpVbl/lIDedKFzrpX05sgjUPaB+O3
uKCFXXGC0QQLw0XuMaWuXXyHsgKzOj+e0Et6CEdGrIPqHo8NkAg83cxJpYvGjhfcZL6HKpQXxHMp
j76kXfZFKX3MVlt9U8rh99Sk26jUzCnzzM2FCMx5k9mfw1I6xcTmBG9bGdijMTf9/MTNjBC6YINK
g4KMtSN9q4sBCE92lpVJPOmsChk7z/paj6QKkac5yza3nFmVOMmyQ95iUlSOfqFGGY69BRy6+/8c
i084DE6JXx+L3+CDvT8UhdjIi0ORqYojBNvgnEDtenEoqkecRzJUcygx4mj661C0j0DD6aCp6XOg
GfR64qMpmmDL2GDiHgF2/2DiA53h3aGIEIrODIfZsQr1nS/xshjG8zFMYzXEVKl26Q7aBAy3vK3V
xJ+G6lDPRiXNbgPq3gu1TpKbqnGxZpMVup6jq0wVRHYIjm49KXRtDcEHB6eY7s9ghcgxAbCqVdk8
9Yv2h9N0+W02ENyjIu4vHc/Lp4wlrKnTuNmtXrXnpdzAX0xhyAY+7D6vAAbcpd41TVHiHZ4tc691
lVmlKJ8SDNuWMZ3P45CJMBXnShvsW69oEH/Ucaun8g0u4qBPpjjT4qdmdkunsz+noxp8KnTqKF8d
0kU9OmilRQAnFJbgAnFTd9HLtbOkBSo6d8hoYnHE9hEbKRZbCmcRvBbYZRm2jOAGQ4hkTXLWsBMj
dmQntmbNHnXEZjXYtXKjzyPLk+cq+zliX7fsb1bzPBMbXhZbPxNBII387wZRoTcd+gPECa+IvgiS
3TwXIcQlltQiqNAHBembosdlet4yEqFHMgl1Ihj1qXliYiA6qccU1qSIWLWIXb7byTT1xm/80CFs
n/wmk9y1TsCzAahrWL9zJ9q9S0iEXt2eQcpF/qVG1L8gcEIURPzGHddGxk9a5/2M6pCDQ/tBJU1N
Gt1JLp4+me+fRIRlU8RnS0RqRcRsqVNX+N+gtN8AGO4I7CgscFImogHKfEbE/kycAgbHQe6NVzrH
QyjOCUmcGMikYcEiThHTLiL7Qhs47H+I/uCwsuoqmlvogYC9HjmoIfXOYqNkBmQZDxITmaCxAbdL
A81lcAFYjhjgo+OTFqXDiWXgG6YmyplmUenEgtPrygooDcMOjgcjgrRFqYuginpdGkZLuVEideZF
6ORBeBn8YJgHUJDnWegsZJlmLY0kFhlIzwoJbpRxDcYaHRt8iifPUvPy6zhN0TIM9FVvOxXgwUS+
TX0XvLOOJ3CWIuRgYBSFLmUyU91uOupyOtEG92EY1GUg2cYqMozbsna/qxgHTnEXnlqWsyZhiFed
bjD/6DiMrdhcSXapX1j1gBArKMRprgQmHWL9po1E3lUbZ9RgVF0I0kxlyTgpwX2eKEN2Wuixsiqy
gF+pRoNe+1op7oXUeQvgg/1C7wLEJ8qA/nJS4uYLM8kb/JldxD/82FjYWc5WZ5vkglnF2f89h2rV
C85VJFn2jO6xcuELRpYruFlhUAAj1+EuNLa7bgsp40QjixqccRKnIhGmmGN43F8NCucaVsRwwIYR
vz3BC5OLWp/bVaYfD54La0zwx/IiPYWdgEWf4JahfjCeFKEiHeuCeZaRjpuSUy5GSGk42X7NpUS7
VENcboh+aB8EujP1IbNJWjf1BLvNhOZWWKH3s4L45vhs4ysLMhxWF9DiAEaSd/x/OT+fu95COHWe
1kE9XDUP5XD9UGFwU22PFvHuI/rpNvu//aXfX+hZsfV2yFFs3dyjZzULqroM7uqXhyvUyLc16uN3
evzCv7tEvOG+mnuurSEwZuBK7oBDf3xRiMYZmN+nt4F+OUfQ5IEkcl4/vl7+jL9bhd/f4NNy/v7v
/PoOOJPBe/LTrO7/+7+eoCgyELRXacm/sxJc58VSOIjaOlDxYNc+vsS7L5cCrIrMIJm2+1MK9OJB
+dWj8Psb/OBFQCXu//I4vF4E64gJgE1apD393EBr3i6CyrjCEuMI1vvQ1oCf7m1++s8fBCYvpKZw
MqynNWAe8nYNmL8AWFKexkMHuAi0evbcDWClHXiNCgC/x9fbRSAwgK1EllAoix/mk/D0iD4ho/8M
VX8THF/vBlDhtO90Co7di4BGNvAz2D0qcfMgF0F5+mL7LIJ6RBUEkpfC6/FFxfZqOyjGERrhhoFA
1+P7h7oU8v5LYQu0Iqh5m2f+1RqoMrtBUAvoborXoa6BQjzfMzDo0KFV5Cd0sg/xehcY7COk4Vkn
oUVxwEshFOv2XAr7iA6+Cjnk6U5lETxeZQzyEeQhcgqdLsNBhgf56YvtER4QArQEyl8VR6Z4vcsY
dPIqXSNjONSUQWjd7vkkECMB4hiPTqWvHgEFrAaTHNpWz9vlUB+E/QMD0ynkEeg7PT0HIhl9tRQi
RjpwWSGZHnZgeMrq9tgTmsmgTuFMpHx6er1ZCpE82Qg628JR6CADw3ONs8ciiMCAo6AN5mn3IlBP
ITZtQnJ+isQHmEbvX0+RQdLRxsKYQPt6N6gcHtiraMahhkXhuLJfWEQJVvir63Ak3969TlikbU+l
ud0gB7kNlKcfZ49tQCwAXMdDgKbD9lZfPQiwUokSJpO8Q60mn7OXfRaBnNAg8gum7Db2v1oE0VuB
ecvo51AzJWX/dNE40sBvUEw+nX+iSHi1CJwKovEAHuTpMD68gKjs32Uzj7g9Okjb8uFtliAajrxH
RX2wi7D/qWAdQZAlX5Sfj8a3NRTbwdCgq1qiujrMwLh/zszTTk/BkimaH1/vqif1CKVDBerfocYE
fe8TUtMZeSPxYtGA3306sB0cWxNk/e37h/k8PP1Ge5wRJAs63UZm+E+Pg6jPX4VH6gecJYHNmYca
GdT9N4V5BFHgUVDiaRXeLYJyBBdAh0dwsGnjR5RPtFVIjAmQj6+3ByVPAkUDRoOCSnGQ20HIjvDF
9tgORAYQm7B6fjWF4KCk36jIpuBrHOQiqPuHx0c7SZ4DPB52PgksAhhaC80U+aDD4/N8YJ/nwTlS
RAVhWc9t+HebAjUaxBGg9xxseHz6YvstgooWMbviOTLsCI+ywoAWVYpD3RT7V5TWEXg3x8R55emZ
f5c9cpKCLacBr283zUHGB0FE2zNIPsYHgD3b7ipP2OucAada0PVINx3qREZISuy3CDTadEfGwUZ5
ThF59F8vgnyEyh974rmGPby6UqBA91sEgCyOrSLSxVJsH/q3i6ChK4HL0dNnHd4iCBWlPRdBtFnQ
UtkGhnezGJEzIErscFo+ftbhLYK2dx3Bk4B/IXot3Oc2J3j9JAiYsUxn+jn+HN4iiHbp/k8CzGDI
R78Y2tNhoPVKM8o+1DriOWLvky1wUDKHpr/wq4NSOXokPRsHiujC5mH/Ykpj6kbrFfXZ3dkCE0rI
57ID1exAY4K6f56AYhQ6TizD8+mwK2+EralA5tzGDDbg4UWGd160/xzdZoreI+z9bbbwLnukFc8Z
AUfjUFNooX6/Z3ikbESJgVn1c9vtXd4oC34mOdUzNuDwngShqbjfIojpHL142tDPeeO7RaABywlB
6/FQI4O29yJoGnmjjNDc80zm/VCGQwR8D+OIQ02ZhFLsfk+CRm8BYVyQTM/b4V1MoOsoBniHW1Zr
+5fVWCuhqUJb8bmV9G47iDpL/I8Znngd7KbYP2cwSA5Vk0YKx8Dzrb5OoWnFs2HAvR7qptD2rygZ
3Bs89DSi/8wJXi8Cz4MMXU852Jm1tn9FCU6DJjTwtech3dvEieyRqhvb4EN9EN5plP7zjMk+ehZa
eoZ5vl0DainQf6bOQOJAM2iNWLbnEUF/hUxBF1oRj693i6DwIDDWd5yn1uyhRsd3kl7//HmwmEOi
J2WYvxpcKxCFBAZamH2w7IeXPOp7R0eSR5gfIFsR0398cf6+jo4o+9rEDs6RA10EwUrfc1NAkkFD
RSTJb+8e8KMFBB6Q24HevbAY2/PuwTaaMk1VDOB3hwT5iDdBN4DrEq9DXQpj/3abGM4p4H3prD6+
3u0GiELgWGx2zIE+D8beRTUhAQqQCTvkF1gW0XMEyQJf6ukMOdjnYf9aApSbJovb/MU04nF4L3qP
z5OPf+uI+Df+0p8E5akfxPeP1GQs2XcxmH/1F7aghffvv+DcPjKPX/1NQVV++vAnZq7473+9Yi6r
j+fgi3e35+LjJz3/++dbfP/hrz5se1/bP1zi8Lgp7/zh8Y3h+YuuNwkM5/+J+b/7zVvGsGiGbv9s
B8365RPw+6vnQfqwvdALOjK76a9bfcPh/rcvnmzus3J7oRcXZ+PsffGJEDDbXufFtflye197uok3
LT9Jtb3Wi+sT//a/fhY31buflEOGM+0DLp7W5eaPaVbVuz6Ck37vj5g9xH+ss3Ln+nMW7X39efzH
LCt5eLbXerH+VAJ7X39RPlS77K0FEmnvix/HD2m6vc6LL/4R23XZJD+y+L5+f3lBdtj7q6+S/KEM
NvH2Un99e0HD3f/y6bDjFxUUhb0vffpQ7lhzgRfY/9JB6u0IBAJKvve1zzbRjhgmSFUfcOmqeti1
Jh+xQc+y6o//Sb2H+GHXynzEFj3f3BOAt+vw4kH8iC16vimDXUvzEVtUXDvPdkV3ASfc+2c9f0jv
s7tgV/QSGL0PuH5593C/vdBf6y7Ir/tfPOO7b6/z4tofsU3PcevZcemP2KVcGq3Uh2HH5T9ip643
+Y4HXbQd9l7w9UO7eZ87Mpb/iC16UW4IAdtv+eLn/Igtehlv7nbp04qG/d7Lchk3ya7kTgxm9774
dUDqWAX3O1ZGjPv2vv7N5q6kJEjrHY+7mCJ9wAekf0we0mDnB3zEVr3ZiA8o0015vzOQibb/h9zF
LHjwdq3SR+xacRMLdsBdUN3t+oyP2L7iM06yTdHsOq1ET/xDVumsCao/Ln4EVb7rPj5iM4v7ON/U
D7uu/xH7mevXmz8mm/LHZlfOIGhOH7FSfMY03v0JH7OxxV1My2bcft2/YqrAzex/C/5mZ00ouun7
X5wexs7F/5DNHPzWqvxRS22PLshNFm92ZQ9iMLr/wvzORnDvb/53Fi57f8DvdOL3vfjtg7/Z5bAo
erl7r/stOT4Se9sr/bWXBPJo/6s3RIIdR7xQQ/iAi9MgSnb15US7de/L/95set8f9TcSyntfuvmx
I1MW44+/WZNdbdk/55rvm7VbYcNd/+x1L1r8jbv4YVP+638BAAD//w==</cx:binary>
              </cx:geoCache>
            </cx:geography>
          </cx:layoutPr>
          <cx:valueColors>
            <cx:minColor>
              <a:srgbClr val="7CCE32"/>
            </cx:minColor>
            <cx:maxColor>
              <a:schemeClr val="accent6">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EAC3CEFE-DCED-4DE2-80CD-891342B21847}">
          <cx:tx>
            <cx:txData>
              <cx:f>_xlchart.v5.10</cx:f>
              <cx:v>Amount</cx:v>
            </cx:txData>
          </cx:tx>
          <cx:dataId val="0"/>
          <cx:layoutPr>
            <cx:geography cultureLanguage="en-US" cultureRegion="IN" attribution="Powered by Bing">
              <cx:geoCache provider="{E9337A44-BEBE-4D9F-B70C-5C5E7DAFC167}">
                <cx:binary>3H1pc9u40u5fSeXzpYdYSJCnzpyqA1KL7Vh2YjvLfGEptkKCG0gCXH/9bdlOxqLlvHTVqO59pZmp
qYRqqIkHQO+Nf991/7pLN+vqXZelufrXXffn+0jr4l9//KHuok22VieZuKukkj/0yZ3M/pA/foi7
zR/31boVefgHNhH94y5aV3rTvf/Pv2G0cCM/yLu1FjL/WG+q/tNG1alWv3m299G79X0mcl8oXYk7
jf58761T8UNWuVi/332G/3z/Qap3/83DTbpR7zxZ57p//26Ta6H7m77Y/Pl+Zyz8/t0f4598wd67
FN5A1/dATOiJaWFMHGq5Dx/n/btU5uHTYwMh5wRTQihDzNx+0M8fX60zoH8jcw+sre/vq41S8KIP
/98/yM5bwQT9d9rE3G0naItLCBD9+f42F3pz/+5ar/VGvX8nlHyYwar35Pbtb68fpuuPXWT/8+/R
X8AEjv7mGfjj2f6fHu3i+z9g/98UZvl+fQDc2YljUgc7NnnEnY1wx/gEM0yZDSvqcbU9Av4GjvaD
PR5gAtBjkiMD2ZNprQ6BsXuCTRcTG1kPW9cEKHf2NmBsmg6xXWrtgjydo/0Yj+gnQDyiODKEl3X2
Xab3+p/fx9Q8YY6NKMX2GFx6gmxETNjjjzt8F+K3sLQf5BcjTID5Bc2RAf3ftBD55p+HmTgntkss
2Mn0FTHtnjD4WBajuzhP52g/yiP6CRiPKI4N4Wx9L6uDIAxKlm1iBwDcPaVhizOMXWK6+zSw/05m
6BWAd+mnALxLcWQAX6U1GAYHANg9cYnNLEzQKxqXeeJSx7Vgn+9u4ekc7Ud4RD8B4RHFkSF8sa5E
fgCA2YnLqMUs80mlHptSoG5ZBDk2c+HJc516MkP78d0lnwDvLsGRoctrrQ8hgd0TC2FCzdckMEYn
lkVthPDIRJ7M0H50d8knoLtLcGTogqNk3WyqgxzQzglybYwwe/R0vDSXzBPb2RpUFHTt5/v3TUzt
R/nlEBOQfkl0ZGhfr3MNhnFVDwc4ru3tcY2oiez9KvXWOsaOY5ruCO63cbUf7z1jTAB8D9WRIX4h
c3kArMGJCaaRYz+Zwu7Y24XAVQJYu8x0d7f2VH72o7xDPQHfne8fGbKeBMfs1sultlv6H/djOycm
AnQJYa/uZkSoYzE0Ur7eytd+pPeOMgHxvXRHhjycWu/O5LqsD6V1g85NMcWPTk4yNp/RCXYxBb/J
oxd0pJ29kbn96O8bZAL4+8iOEHtfbMJDHOr4hCGA3sVjQwsxcH0SBznkKai1e6Zvp30yT68DvjvE
RLh3iY4QbL6p8nV1Lw4ixsGlDfEKwJXs3+sAPHap6bKRFN8i/jbGXod9zzgTsd9DeWQLwN+k71YS
wuX/vICn6AROeXCEbqX89jNW4TCFaBclELAcRSzfxNR+3F8OMQHyl0RHhva1TNcH2eZbbR1Rh7Gn
bQ4ie9cjDpYZdR3LHBvi0znaj/OIfgLII4ojQ3iWvvNlBQGPf34/Q0SLYdcGd/jjdnbhyN4FGcIe
rgvLwLL3hT3exNp+tF8OMQHwl0RHhvlNDekI2UGCmOAgd0A+gy7+KL5f7GvzhDgYUo4wKPHPHWxv
4Wk/1i9GmAD1C5ojQ3q1adYHyS0CZ4qNmUPMp7yTPSaZiSDphI49a9M52o/yiH4CxiOKI0P4wzo5
gCpGXBC/BPIBIST98NmTV+QiC9kOG3lOp/KzH90d6gnY7nz/yJCdQwblQXQv+4QRZFsWeopSj8Uy
eEqZY8E/aBSlns7RfnRH9BPwHVEcGcJbm/VDLdS7y+9CFYfQwKwT7GAbDmKIcWw/e8SxDboXRDT3
mNNvZG0/5q+94wTwXyM9slWwDdUX8iDZoeyEOhQzy3lynI7hh53u2pQ5GA76h8+uTvYWzvaj/2KE
CbC/oDkyvBfpJj9EbgpkL2DTQu7LNFEMUW8HMWKN3CaTOdkP7i75BGR3CY4M1k8CkhaUuD+ENkbA
qjItQh7N5JfHODhFCaQ0YDT2ir6Jqf0ovxxiAtIviY4M7dOs2FRinR7AawIxD4h3WKB+P8rssWmF
rBMLtDcLQSrpk0x/bki/hbP9iL8YYQLgL2iODG8I2+tNtekPgLd9YjN76wh9ykka4w1ZZ7ZlU5uM
63TewtN+pF+MMAHpFzRHhvRp3h9CE7ehGAuDgGZP2f0vjK5tappr244zSl6Yys9+hHeoJ6C78/0j
Q/Zb/f0QaSnuCaIIjmPILHr4vHCVQNYouEkc2MG76vVUfvYju0M9Admd7x8ZstfR+iApR1B6BdU2
kGdAXsMWgzsbAtZgZO9iO52j/eiO6CfgO6I4MoTPIefgALLXAr35IeH7SbPeYyBvc84QwRCLfq5l
TeVnP7o71BOw3fn+sSELZfiHqMWxTwA0KG/+WfX+QuC6JzY8g1z+MbRTGXoF2x3yKeDuEBwZuh/W
Sm0OsHPhZAahC7VUT54t84XWDJn88JhCLc7uzp3O0X58R/QTAB5RHBnCN1BpBY0q/vnDeVv3DFsY
0v+esvdfpANhqKYDjxdUv+9C/AaW9mM8HmACyGOSI0MZfPHbnO50/ZDfXf/DHUrAfQWVsRBrfEr8
Gmd7ggkMdhGCcPIoIvVGtvajvW+QCYjvIzs+1N9dQF+VQxjED7EJBqA/JfDu2d1Qr4GoS0e7G+Z9
OlOvIj4aYhreI6IjQ/tifQ9ld//8QU6gDMvGEH2AutmHz1jLxuaJaUPlBkWjKOR0jvbjPKKfAPKI
4tgQ3uT38u4widtbN8g2Z5c9ua1fgEwgeZfZhGzTep+bUhdvYeoVnF8MMQXqF0RHhvajgOLr6vth
pDY9gYKcba3763kktusQCgravujym9nbj/3+YSbgv5/wyNbAxaa6g+5o3j9ejAcqm2m79q96yxcq
GxhoDvhEEaM/z/zdTT+Vr/2oj95rAtwjiiPDGRbzu3m1zu+EupM/z9d/onkgg1ww02Sgfj/u4bEb
BUqo4RRAlkNGsnuHoykLcD/Q+4eZgPd+wiOD/UKCPJ8yuW9rGQmVOJDADX1qfhbOg3d7nLkP9ZiQ
3YtGMY3JDO1He5d8Asq7BEeG7jVUymeHUMidE0pc22WQ9/XweeE8e6i7tCmo5D/PksfWkNM52o/v
iH4CwCOKY0NYqET0sj7IFoYsX8j8+9n9c8/BbUO7OQssrxHGb+DpFZTHI0zBeUxzZEhfgnAOD5Mb
Bgo4dRz7tbaB0AbWgsZy9riv73SO9qM8op+A8YjiyBBerYvDnNUYDmoKcapXz2po/wl+cGeU3TmV
n/3o7lBPwHbn+0eG7FW6vtscpiEk9KPZ7t6narkXchidQMIQJALiX8r3cyNqOl/7MR7RT0B5RHFk
OF+v7ypoxp3rQ/i7HUglgQavUInxiOULf/dW597+A/kI288Lr/dbeNuP9573m4D5Hqqjw33bOwKi
mIfAHRL/LKh1B//3rz28a0oB7iY2ocHzOIXooaPFVK5eQ/zFm01C/AXVsSEuNtVBQh1QhGGbUOHs
PG7ifWkJ8BC8ptDaYN8un8zXK3jv0k/BepfiyHD+DId5fRCgoRUJwEjM15qRbdvNuSC5bXOUz/sG
lvZjPB5gAshjkiNDGe7+yIVK1/Uh8sgY5BGZUDtlv1YJDTqaub0/hY2AfhtX+7HeM8YEuPdQHRvi
2w7Ah9DIIYpJMIYOsU8xrRdhDSjG2HauedHX4HoyR68gvUs/BeVdiiND+GYTrQ/h+4SsMiicsuFG
pFeilhDQgPa/oI2hx9TCkR4+na/9OI/oJ+A8ojg2nGvIKTuEXwzyf4m5xfCVTjQPAnqbVWaN/J83
kzl6BeFd+ikI71L8L0D49yzuvPL2+qv//vQw74lIvvU2M+j/Bz3YbUg6eFCgX7Q0AFxtBJENKMp5
NLh+/vZjBAMaav+6hu3Rl7KPp/3IPqfdecfHV/z9pPyvu5jsm0wPYQ/DNTcMiuDAYTmOKUL7PwaX
0MGVRruQTWVkP2g71HtQ2/kruItv5/v/LyB9/R66X7f8+Wu9nj3cD/jsKrrfP32YHLjbcET6lIm1
Zw/88iaf3v/5HnzPBC69gL/7dfXgdqCdPK6//UQ/4dul3ECN1p/vDVCtoOk6NA4yYZNaxDXB7dFu
fj1ybAwXbDw9gd/LoddkBJcYQi85Aoo49A2D/2Fo9P3+nZL10yOo0aHb/gaQhOBQ4vy6yPFKpn0o
818z8/Tnd3mdXUmRa/XneygQef+uePzell/LtBiDvoTAHTQfpBhb8EvF3frTtkoDJuL/kLjJ1SC7
9rJLHdOjtSjmpIniWRE3XsY6PVdGogjvLNp8a+PsvFCduwAzkHFaCuEFfaj8IHfQpzC0Z4ZjZTzr
c+bZpjDOTT2srQAPK7fWm9Yu1YzFSciLNLgmtWFf5E0a8b4h5bzomnIFl3/N4jD6rKN21pq5mAvX
Ocs0PqMV+pF0/ec2ys4YTS7LtPIZwktXRDF34yziIiOFH6co5ENPUr8zqfJCt444texNzOhtaxt/
JY2xaZuo9FnQZ17X9h2HiPR9mfUhT0xjpc2m9lGV97xN2pw3rv29j2jiu3CNlZeyRvOm1sKve/k5
yuRHbIczW1YJZz2tvbLWzSysFnV4EYpTuyCfSmVfkDTYDGnG+/zKRkXrkypZ5a49H7r4S1YSHuDg
Lsqtm8YKIm7GP/qQFr5I8Uen6nvu1IM5a0J1Kw2NeV/rwqvTKJ13Ou146ZLSr+z+Ogu15WvW0qVy
zNgjaVTNzLxmfJB08DKBBk8FsTsztK18qsNlElHFM4Ms6tqIP1koxX6HU8njnsYcCavxLWmQi6pM
BGeybbzEQcXZYFSfpOpSTg1pLupOnVomEn5FtJjTOraWdeD2yec8NFh4gdWQfYmVZbg8zcoCpq8Z
vI7YLW860c5yy/mh3GjZRc1lpKvEI5nS7EIHWrl/VdYg7rNUMsN3UeouBUXB3FI2umSm6Dw1uLUX
4j6fF7SVF9mAxa3TOp8rLbol5Ob9lYgu86ymEJctjbFvFHU1x71z4+btKcmsRVEF9SIdULqsELo1
6gD5tdmSWRcM+aJp8/BTRrOSM4XzS5W7fmnCXBLVXHRRL29gBTCvoEx6cZl2V1BerWZO3RY3Ydl8
V+D5PGcJbjw7jjYFijpvoL05Ey5aGY4MNDfrDqbeQh5zdb2s6qBa4spOr0u7TC8byfKbBPfaL5CI
vIYWN9LRvta2wYd60DwU1rKz84TXgRF7Makl17K/bLUbeAapOi9LpDuzBG7PtY2ceS8C+0z35roL
Cq+M2s9OTwuP5GbPZVjEfkjdnuOOGqeG4bZ/JXHb8nwoA184Ol90hUzuEmKpZVq3JR9K5yxpo27Z
DNqZVdodqF8NRcBty60+tgQFH6KQOBdO068U5FFyNzV6j0kBOzNrqnlnOp2vca4uDGeQXKHE5InV
DbPnV5runHF3sugrEUZP99X++uN/bmQG/z7ccfr3X26vu/37T4uN3KpIavylrTz69a2/70ndnv+/
Lk0dSZXHO3NfETm/ffi6PHouVCzwpf9OFD1X1B6VvIej/YHqpxhC0Gl6eyeuCd2ELeh2BgP+EkOQ
2bptbLiVN6BobgsQnsQQhba0aHvJhLnVLqFR8TMxtL36CQaEdDkH6oWhaPQtYgjBb+xKIRcMUOiv
Z0NjCAKt70Fbei6F9EBkUdZ1t8pb4s6aNogKLknMEi9hbfPRNqz+LO6aPJmZZqK/aUmb24SqruTK
zcsvz2Zvj1DclkSOuYGe21BPCdmccKXsVkN7zg3N+yJxo7pZ4TJHqzAZ8oDXTNqR1zVaurxpaf2N
NYUheJU5uvTKuAK5FgyKUQ9ioPm9q7V5CWNEtY/TFN0OluGgRW9bwQb1Burmv+cYv5Di0NgK+mpA
gaBrMVAbzBHHgkWAba9XpLPC0Le7Ib1toOMwmWvWS4s3fYdiX7DA4QOze8H7xCQL2JU98qtG6vuo
Uwp5wigsX8Fl0Q3XWWQ2nFVWEs5CGUdXSe2eZXBoKx/SrNzPKirPk7S1uplQIMpFFTXZ4vdv9RIG
iAab0B4GWmBD+/uHl36mmrDeCFujSNUq14H7WYYOwpwmGJZGkdfdVdtV7nURoPTr7392u9aea0SQ
xAt3ajAC9yLBxWeYbNl69rOW2YEQVmG+yp0BrVAS1atcVZ5wgujz739pq1uNf8mFaBiDuk1IHnZG
66zIaT+UVSRXTmHSddnKKl0E2ukxT4poZpZ1OnjE7B2QNcRqs/9p0WwXxe7Pw0KBLh0U7n8C3Wr8
89CkRURhnokVKxNrncW1tU7SLQ/WkKmZXUnJexOgX7Rp2WJeJpJtdOqq09bt6YfOJpXpkTaWiRez
PLslVYGJHzl9vymMpvBNY8iYZ7mSVkuL2EPNfz972/6MY/7Z9tgAoQ73OoOVtQuUaddWblmBcYHq
IFuLSquQIyPROeWk7/PwrI1E8j103OJDN5TR3Ja0Ex5GDfuh2TBIr49C5lEZNxtREXbfWEXEzn7P
JH1QoHdmmVACi2hbFAAlIxYD/8vz5WRXjjCrSJOLmJZF4Dq+dqNh0emOuHPd1LVXdaX5scl6q+ZR
FDGvQvlC4apYpLTAXpKW2acitbKOs7QNv4AOLk97pTUvrLK4tVXi+EGZB14t41hwoUnc8iBW+aot
DHVZGgOZhSFyY24MQZ55uImypWXr9BOOw6uwz0nH05qVKx2UNxqDWujbDYaJFD2Gs4HWw8DN1ok/
pJHlfAvMmp5FtoM+DGHXuF5rRjTzYDrEqQEqa8bb3hl81FqGP8TdXaFKfV2bBot4m2k2D1RZn9IA
45syQm2yCJiBBB+iJPgO5ZJVw0VeGn/VGcv8olD4NJF5cYpKN70XTWHDvidZci3coGO8KWl4VgVV
7fUwDwtEsXtZtlk3o21VzhHqUDNL4fKc0Gva0Cm9BkfBLFOk8uvCvYwCIzR9hKRegqjBrZebsc0d
zdKvXWZG57hyi2uLaGtRu7GB58rOhrUD2v5MmV08zJvECedG15lrrNL2hwqLwvIGrM2a5yFuQlDR
Ywmbo21nfdjUzrySQeSnmmTLHL7K4TivJEx01jAeqzg2PBa0DLRt0Ic41WngEW3k2aKyk1lI697c
6lfUF6oyUx7DStJzoltXLTrCug92Mgxp8BGUNJ2BrSHSPq/uoyDCePimWqNjYCG5FRzl8g73WaxJ
BVfu1XVhrnSis6Q7c0U5LBqw0oLTrBKi4DHYA9cmM8hp3BNSezVgEPC+NN0O4Mocx8+DAOShTpO2
nNlJG5pelWoUXEalaTO5THrWRn7fpa7+YCtNYEW1gUSq9WqQhXPbiOLgsoGtY4de6RQOLDiSqGye
p6ICm6EE4RXMukbYnhGAc8zifWDmFO5iCrLMi9y6DeZtytJspgLQCuZWHmaD5wwWnJg5TsAey6LK
SHmjwD69UsLIspkMhfPDqBsmTN+UWC8EdWpnZRlBGJzlhGlmxV7eqXLolwrySKtoVoQRy2aBaoZy
7lYKTNI+tbN+aSqVFZ6F+1R4rLP6dFGJUhgewIq/GEU2IB8M+yTz4T/TuExj01Aw5Xn+Jc4yNzsl
lavTWRJp+9NQa0LmsSExOo/aSLGcswhHehFUTZFfgzAmZ3E44GReF8DBTOo0HGYO6gbXc+K+aC8y
p4elbcBWqfwAofqsIpaV+mFAwtpneQNwCqZAP8mHmAybNIFkad8BBjKf9FlUniJT0GUoWGJ7OElK
4gspAn+og8TiRlsV7lUctDH1iCjjgWdFPIBpH6R0joogtIBdlxUz1EeDPI0EasNZ4tKo5dvvceQK
N4flE5ISLG5hDFx3wvgLjGzZG1zAPsIrNORiENxpqEFu+rTF9cou3F76uVvqC6vOQSSFiiVA4GYE
ZisQEcq/gQWXR2dln6XdXLVgNJ4jHeobsPmstdUFWcAdBIt3XucdIzNlDwKYr1Gc+SkpE+U5bTAT
SJTf0rYFzSIO4+ZaWXb7vagismxYGwYzJ7FMzHMngHGsVMbdPK8atBq6gtCPSlvoBmkDvgHuBeV4
GvWsmzU4i8Wy6jBuT3MWKnwpDOZ+zs1yuzjjuFQLlqpIXXU91Y5nli1gE7U5MCYVHLrnIMHcz8Qx
YXVncEpWPlQedfIUbOMAX8VVnSSfsJO79LSjcVtf6E5vlc+o766sxLC7mWwz+Gkph6HhHc70sDAT
tn35Letg3275KjK0olYOb1GXFkxVlMhk8Nykga1TpGEiPuYVgy1f1aAVhPAMzlSs8+iyRLSvck6K
yAS426qrLzIjKhQXZl12YOQxk8z6psTbQwM2kwdvBAdI56Ktnqzz7HMANyicOY0QDnciK4F10Yf2
us0JsNFVcf+J6M5U5yGoufG5LPIkvnZAWixUbqJV6YblN8gwskse0UjgM+mAn+c8iGTY+H3FyhYU
3J4sCgzT6pms7O+SNLGuulqZclmafZN8ae0sVMssMLIf/eBuzxBRppEPdoBDZgL3kZoXduZ+Mcwg
m2dtEYIzgMIx11dt9ElIrc7dLIkt38IVDuHYg1teeBNh93MVG004S3EO22QwAuKe0lyicpPBgdyf
Qc9S2Bvt9sSexZYBM9o1QzMDIdOW56iqse0FbqobkLSkMUH1LuO/Krdxb4we1PSzwdUVutcq78F5
gxBrTkWLYaguQ9Hg0Ta0w9MCYGk9I9l6mGTT6IuuZ+l13KiSO0wtadY11nJobQAnMZEaFkWaSHmR
2x39YGiTyllU5llzHvZtEXmOpbLoBjQRdW+6ORwjcHSqhieRahV328YpQQr05XUalkh8RXIgTsMH
0MD620ITw4XBVFDNImYk4ZkRFO33KDSNBlxpyk5OhWuij50ygmFR1aUSMzHUsEgF1jG56pJ0sFaZ
XaQpL4vGtC8oimjn9aDdqFkbFYBa6+Qi5NXAMjg7lEpnqCNd5TcpdqrF4JSw+hPahczvg95UXlAo
u/zSWj26iaMK1hpIOvczrPVMXeVujuCAxYUbz50sAjdVV3/D4NZxEE+Sht1aOC9bv7VCTS9okDrN
pzJQbgXCHVb0rBAE0ATDoe8+CKIT+YFVRUSucGem9mnQSRfeq+uM8CKpDPACZiqAMwO0sVpfpGkA
/FduEs5V5CSR33amedqXFPZ9b9tMcBpE7OJBK33ypV89qp+PfuDnvoznro0pPpILcVdJJX/osZNk
Z6D/zz0pezz7Fhhar3v2n3qbPPfAPAYEtmQ//SnbQkAKRQYUPARw68vWM/LLn0IgaYJYxEIWJE/8
7UxBJ3Bb+rZinIJXf+u6/9unD42pwQcPnhTQZB7qD9/iTGHboOCOYQSNQ6AFMliWoBlBCMHaegue
WbCgOHZ2WarsKkcFpRcK1wFY/LUwMwssoxa7vOuaxuEpK+7KJvtrkEO06Iz8mhrghibse9+0oPzU
4bKCE7AsRM61AypFTdnK1Kj0jLhOuSw6ygPpgrs47KM5LmwwYIpwZRhB4jVNpL04kJeq1/eGnRTc
ctt7WhhwxEjl1S4YadIR5x0dUk7c+MIoyqvKlJYvIzKsQDNqfB3AM9ZX94bUEiRR9b0Rej5kSb+A
e26/Gx2aR61GnHXhkjG9yoekhO0aBdwq22+tY9ymuk+9OEHXxNJfQ8hcXbiO4SwQKGeXIVQqzcDv
pXltJRXoL+GasUEulNU03AGPphD4UtIy5dGAr8FPBhKnFh87bJ5lprWhOluQql0rKs4p7hOvMgyv
c/A5qHbwbXeZmdXXmohT2dW2nyfhV6nsr278nbTSh9so7pTr3lVYXVaD+GLJ7i6hTuaDS2Lw4QKh
K4ikYF5Z7TKLhMFjMAZAotThvE/EtRJkVRfGaiBl4MWmgNAATgm8tJOdxgjOegtpMLhMemVYbXoO
h3DILQMsy7BD53Fkh4vYqO15GaYXUVmbM0d1YEcaZ7gtK+4yfebIJuamm10WPXW9Pimd06rI8aLX
7cJpYulXoo68ok+dRcKiyo/NrJnZTdDNrBqbHKXwlPV4WYXt58Bh81TUV7ZZX5oyB+lkuOWiorkH
CpLDwyQ5xVaY8E63Iaft0HPbrE7BRV55FTaCBWy0wGtlcw6KxSoCKOCb1fcYghF2Y12B3XEaxqzz
bBwvaCxvM02XLupyngz2rY5LbmbhZyX1xjax4SUDltyqbQrmoxvNIb7yNY/Lwg9xcRaw4otR18pP
VXtruBBrAdJ0NqRGOSNNct0buJ8RDFYomI0/MmVknpDFBe3dy4RCBEn3HeaObD/UXdPOOqeTl6zN
QtgrlePHUmAvSNxlC3YXT8BVv9YBOOBNVQQQFFIGJ0n8pU58lopbolEKK1CwGew1n9Km9sAy1Ytc
6ZxboJAvO4TBQpTm+Vb/p7kx+KByEn8wjI99E0ezPi8Hn+FsJXKc897obE8QUnldOGzF0ToBl8N2
rV1Tcmb0PxKzzLgRQnyHqRnpu9gHP8TMofIz2HI/TGTGvGD0RzWY31zlfjDbdFX0/TUoTIxbyohm
dh91vM/KT1Gt1ikdMi76U0cOZ7R2U3BodCaHtReDmKZe5fQ/sKr+Co36vJX6Y1oYF7qJkzlEMP0h
6S6I23QeMpuEWzm4neIa4gS1GzVepfWPAiw5nnYt9tOOrUVZ/cXgiOZKGgnHEvzBXetAyKPuYw7R
J8dLY/oVTt2S232leJPadxqiqxzZWPhwIJ8ro+rAuKjreTQ0ZzogjYer8JMddetYWBCrpAmd6xK0
iyLUyFO0XNqZ7ZeRGDwdddfaKkG5jfNZ2kWtDxEzPMtzq4JNJ2FLOPZFWol4JrtgJVOSQ3w16Dxm
hNdBQC9l4V67AV2Srnc8OwfTuu7TT0FRrMBhU85D7aRfq1ZBkLVtPhgQwoXo33ZjW/EX6Dyiud20
YPm6LYVwWPS9y6XNayrmEMI6gwP9U09lAxpv1vkgAD4WtMFcWJbfWI6ziEwBjhFFKLdseRM4+VkU
2NRLyvSDipqPwqI5x3HGA0EUeCUqNMvDFGib5tqyY2c55PV3JeOauxBN4zjHEUS8SsMLB+MHtDgC
eRFVYuG4xkcw9L7bBPZ2mTLHo5ljeGkXgjEK0baVWbqUV7L8ipws8MDzmUL0uLM5wa3kkWMiX8KZ
bRW5OY+Fqeeplt9rV3yRBSykNsjnvQ4rjgByDuKu8lpCEjAwzXAO4QyYU/AfnBLSLt2Qgl8EYrmw
aawUZqm5jfrkYwsy0dOxI2FiVMyhN1voQcwKlpvDEr8Gxwx30kZ8KIyh9RMaX/QGkRwcNa0XmhAq
MxL71tL9AqzZe0taV3FYbDoEwykaf7VtLXhbGbD06vwDODHLFbOGC5D/4Mlj+RKuKTnVaVF5tMf1
LHFM+bVM4/RUDeUtwbDx05x8MXp6qYW+b8t07gbxLQh781zYKucg/0+VCC+ZKG/cIVkSQ7Vgijdb
b56seU/bZWARzrbmgmxoC6xAYBdiHneik4afVRIcL7IY5r10PqEgK2eWFVHwEXT5rChAJW3SOjg1
q35tG7AYdNTgeZI4N13OEu4ExpkIw3UVMz9MjIh3cbGQpQR6VlzJpEFcumY4M5B1V8QdnUPUFKw2
Ac6u0r4ya/uzpPYiKNJuOYTkR2y2DM5YVHOMwevidDk4a1lac4hYJ9yUPSy/GOmtT9Ll5YC+2apZ
uTQRs6EAYCsDTu2oJ6Efs771bCNemzm+SEQLDioRxF7ZFOeiSWGqdbXoBzBxawK+ntpMlv+XvS/d
rdvm2r2VcwMqSGqifr4a9mxvT/GQP4KdxJSokZREDVd/HiVN67hpgwLfOcAHvGiRDsa2tvamFtcz
LUrRT6D2bex3PStCxdI6aqQuE8x6+ZwJCzo7F3pjqE2ipjImbsgcAQ6vVdV7qLigoRCpG1XKusv0
+EEHQRPWeRA1Y3kaOuqGYuB9JLpGxczJbnvPV0la9vtBDF1UkeCDUw9XohyDyO76MalaC14CD8+T
bfrNJKwyZkW9t9A54YGUJBpZ99KK6mpi2M/xaWELkTvlkTFaVP5lbE1ktd6rR6w7ywYV61c+9Pug
ePWB5aBFsU9m1kcoRWM4++6nzvhbxQcd14Ie0tqu42AxTjR5xYOoqi5Sk2YRH7xIWtVGpC+EixMa
AyfkcAGEdJCH1tU0agcpL1ne7FOl8TNePAnLbcNqlHdU8zpsB+vGrwIvZCCvnWB8mNBzhV62tGHf
NnWieluAxx1EWBUKtwNrSchH7SRN4xy5aq44n5uw8FUZ4bl7xVltFUhpgF9R2Bu4Nh5bg0c30/S6
FLWOsBYubC/v4TOQoDqL9tbL8R2BDbbRXk6o07q+mBxdb7TnHCjvP8lq7iKa9w9qylCDBvJhKfPD
NJd3zLGqeOxQUn3yYsyCxQ+qIgxguIhx7uCp7fSmJhMPCUh5lEMCSd6TXwL0xpnxsrCd6i9LpQHf
axkKvewZqx9zKeHYkB9a0xZRhy4P5Bb6TIWVmQWjv23KHG9y8Ldk0q9ehpbOb6Ynu0LPZyRkulI+
Dn69T9M0zor6OeXFi+yHs+OoQ5X3NBbVtAEvip3SVrtZ+TdTRpPJrUATqeZ26oJd6wT7ACy9IvIK
6ms053QOZztLsrRMcm1OGowTzEBR6RLDDp2kc6SEz4rrsl68x7nJPX6pLNfgf7h9C+6Fe9HgttY3
/eR/Gqn+78Ogq+j89xj01HT/5z9I0Jdfur/i0PWl33EozkLBXF/0OKvGZBMHP/qOQynHwFCcNurA
SmZjtuAbe5nzG2AhXGnAiOARv7oBvtvL1vM4OIVj3EUQm+PMu38DRX+i0BE4zBAbWg/58FcT5Fsg
KkE64WkJ5OVQJYvrg6TcOr9S63HE1zu4C7UWfj3mYgCEw3BE+jvBVqV5WbqLKy/7RuZl3HBSr3oH
mqrUZkUibai3DWjIky84uOg2k1G5pEcQRfKGtNl1mfMtc7P8NBIyxIRabkQ5AG5JcxIRke1HVu0H
k13kBg/OQE9kGa/B1F6opTlO2j7nWhyILOawMuhsJLqajT/D2pYO7gxCK/hM0RyG0ALww77ADl0O
r7k76bCrPa8I4UcKgjDF6ycfhilI9XDtjFBPt+k4+XFvdXMoA4ZddlgaINy+htjCnHsQjD6oZNf+
CNmuCy3I2ducFJmXZINqy6SZVfHQNHTGw1mQeSeCNpV7atc9+EqbX3pzN09bfyhkOHk8y8Lebm1+
vzDlxaViEDWsxXO3tBkhn0Ytzk/0FZ7xqp/TkEyudeaKWRf4/W3c5SjP1jQcG6ve8sbJYw/WpjDI
WBlrn+c7u3SKwzApj1/hep390Z2F3x3Z3JgmFrMN6KHd6Sqjsg2VmINjoD3/YMQgngjCpA/GzwSa
sXm5dfp6cAAuCiBEeF3GZcczk3rYGLrgQ9NwO/Rqp02sgTgxa6csKodiRO0S894wF33DMABY4TM/
oQXtnrtMHKfZCHzsnIWBgpDJKppg7l8eitKMN4sZDpLMZRI0NLgRs0vDXmZ5zGcgyKatSDQVTmwa
Gvsqf+CVi159qUzsqXyBS6pmaL89Ek7llB8ggmeJ38/Ltu9LGtXo/i/RbzMDaa3berbZjU7tx9nE
umv4s2jCreoir8sLA+lnA8Ly2mncPc8GGadeuYPps4iFTa66YLztQQl/EGbirw06zE4WsTdO3muT
D7FbdXGRKnpHrGEjvH5jsaZIAmzpBe9COUF967z2c9f1iA3jWBg53ytpwdpnDsFUbVBAQIAvW2ci
FzM3sR30O+qy04LuQ2jzQtzhQlXWphxpYmsFpmb+VA9LKJpP0ItpPHqlvZ2ghMSFa55cL38pF89J
0Nt1hx7qLESm5cQqtrcFu/DaIR6H4gmOCDhR4OWsuZ+kxtsIxncDWZ6mtEtElcKPQFRopwJ4HMrA
XrowuECEimF4vcI93rjDUMdTvog412kXOYbkF5njFVGWsuu+hA0NculRsAmLuafbUgGkFqmPVVbN
xwAPEWn8kAU6njg/8dY+OVPzYC19VLj+7cDEda3ak4//Niw4VYO5zoL8ULI2YanMIblPIVghGsps
hGsTXopIaHJZWMXHpqAf26I6YETMsSn5QQ70ehlpDN0AHUV54TroWEs1Hxff38FjlEEmmT+pwt8N
gRsHus3DbALcXkYQNcu8V0tdH3refK7m1A+trC7jWZR17E52sVVBu007at0ss6V+YSCh9k/q++og
QboXWMzGP3+s79lMq272yvyyUQVLTBnMiW/mIq4qU576yh5j36Qb0WQVTlRavtBWdddKFeSOLxwE
4jTdDFqeyJTGReA/kKnfqsx7heIjoP9rnQiZEiB3smkWrOkyzaMmdbtolBwquTIs9nm/M03zov1l
iHLZ3TM/U4mhvQ0GoWjCso5GFXXTnraFH/ZpvaVSb5ljrkoGqq/yP89ldTv48gC187h05UEN7OS3
zYl3LNj2I1TIbs53bMrcqDN55KVWs8kcuRUu8eOOdDfOPKABzrwDyQI817Ygp7QHWJF6+iBz40Dr
HxTWAjs7+VKjt/fmaMqLC9OC5uzkvhjdrTvCV5yXap/WRQD0qfMQ0GJj9TJxRXuCRgErVg0hsRyP
OOt6h31Nh3iXC/a1bgO8ci5keYOZ0yI0MFXHXm3lkd2SMNX6ChDexBX6z1Br+cGZHQUyJn8OiA9Q
hMU0YYFyvQDdqc+FIlvagiZ26BN64riyvcgLnN2IOmR3GM8W+CeiYAwTgfU5pd4SQmgDwO2msCgr
urfatZb1p9z3HhkpNwSCW8it4mmuGI1kNxeJk4mzvbg0rjMGcaMFmwDBdLhvANSPORidixIC5v5N
9/S73vHW5/7eH4cWYT35kfsYHgPX4jqU9YdGZNFwixlYndIhj2150OxXbqTVbPSnzQe/0vYxm93m
MINjPBFfJ8W9vQL8TTA1B0Jclh6sNt45H/Jd3t7oUWIllFHuwUEgk3++K+S7fnHVd0z/0BZ969iW
dUHm+tZlzA5hfLrFrvgoHPQeGUAHaBX3wUvtvRlq8PIwpuCpGJuIAK9FtV4eG8s/5b1DIiDETRmM
9IVnjh9XRH7weDUC4M9Hv3SevBROEVra3oDVVDfJsPh1wltLxbQ1PALTMO8HSO0vTS37DUhAiKl5
/qnEWk1gCsliVOA57rlHIjMEt4NTLlvUww+DMGxfCfsqg1Qg/WCHTemu03rjrTojc+XOJpmVSIIO
pRzrGgh+IJGqPNiPRzcL/Xy6YVkd13luImULD1LDfMSif1Ud+MOuzffasXbz6NxNi3xwSHFw+0aH
sGyKME9tKAQ9FA64yfbFIo9gweN6Tllsl4RggylQZcmDIaB4c1ld8Gza1npMTLpgBZOk6AUMKUgf
NLLiYbtIHusyvWgVj4Tr72jjwZciptsMjvBwai0YyCGG2HZPogWcrtXmFXB08+wJdaFJda3aCkTn
1MMffTCusULj2ju/5qiIcKvXM0zz6TTFRg+XrYc9UrbuXmvnC4dNPUqhqSvX2YrWOfljGf1iuf1q
ja+N+BtdaXTQYjCQzBfyVF9B6Nmoo7oft8ve3Xknjq0n+sTG0D3Qi/rjePzni7MfzZLfHzDfxmHO
DHm31RL99uK0zXhdgHa4aGM3rE8sajfw0tOj9eBvSEI+nK3o9GASCZb3GX+Ul/OJhId8k17aYCJ+
8W5+3Pi+vRmboL3k9nqImfvObzuTsXIoldllRq5au4T54UGb3T/f8Y8166/XeOcOXXQ1WFlWZthc
vwi9C+brf/79P70HHIXr+0gRwf/57tuERrhYBLaly8a6UgGeBxc957cK9V/4vkLZv4fvEc5P/DqH
o+uf/4rf19d+x++Ih7nrzGg7oBRfwerB/Y7fv0rMFNge0+wgHHtY8H/GwyjiafB640mAdf9tPAwT
bClHYoB561EheE7+DX5HM/fDBrPGw1ZfMgYbwz6Ov9ZwwNunLqh8NA6oQ2fw4HBQRlo15FBO1DnU
CwynkfSqD7MUDCKsdeI1DMDSRbMySi/OagtaYC/vJtEfCz7dGjKd5hQyELoldDkjmjh4smA+7O/H
ar70K3vv5iD/y7QB69qd22k6AA540VSpfb6UY1h1HWyEAmDZD6attu1Xm4s+GjtVhyQv5ghODJbo
AqT7wsE6SwnJoYQpM+iyp9mDuN2VzpwE/VzFRLd3jgc1zhksFsHmjoZpIdE89qGDLE+k6/ShDCgS
K2jYdNfFbj6+eEMRylRVMc4r/aSkn0fGyx89GJ1Cz4fWMHG4nkBzw8736Alny/12gXxjbzKuofF1
1Y5BtgRa5Ltuqqp4doyGC256mZv0peonSKQZ9FtEHHIS5FHlFNuimID4RL2h06hjbcC7ctF+FsRx
44nWj23jytDOjB2nSNl5a9yuK+bnvHXT4+AirKRdVoXZms5bY3qs83XswI0aQeTxQyS6gu04Fkfq
KvPEA6PtcEBIEU2lQXbJzxMn9ZtNOYP/LtewDngCiHkBAjzDGuWZ11BPscZ7+Br0SdfIDzjuINRd
kSVWDsfsTPI0qUmXH3PSlBCFxh4dilnux8Vk4NPhMiu6EtDSq/zNMhbFU6NBOeY+ekjTVdVNp6m6
yqDY7TnV00kFqR2buWwOcIHpIbQcR57SsW5XE+R0GvRSsnCpSPoy8dzicO1Yal8zco1sFE0y4LEP
ZMYHv00R/fhoyUC8OrwckipgMPL18yrG8AgNK8Ilsh1CxJ2wbjTshR27AHbHpz4mahSnrlZPcIIG
kaWGS53VUFzSftr4BCLMYDcggdzMhM7UXjo96zcKVIH0dZ8oGhzhnkXosIR2X9vLarkO6nhxCghe
lOdg7VfMM9gZ0GR+69s1DM65V1w0AefHAg3TfQAP7t4DAR1msKltLV4j5Wfp14ml1g4WTaDWOf8v
F/vN2LMexPH3xXw9ob3+axX/enrH8+9JXhyM6PjgYdEK+A5bf/RHFbeR/8WILA9xLMoo+aGK24zA
174OyVtJUtTW7ywsppiuZ8GAngWccMBs/qsq/hV8/AlO1iqO8r2aj9fj4eBZWluBN40bB9HreRZZ
znaV3Su77KMSOCGsW4Xmfak2XHlbOjZ7d7aAEIL7qkG3i6hiE0O0uZPcubCbfl9JmSjDUySA/KoO
knx9lMr1oWrwdAmr1vt+zEUQ16W0XuAgr7C6KdLERz811RS5NUFYsPTlrutBkVSDHK5J3UKTGbzb
sVgbZTOfA7ek4VTbcZtBbFFTczfP1n3j1h+g3Q4hYQtEID3uPWs+Zzk/ICkdw7L5SS+wwBT1GApJ
blrJrmD1uWemq2OEL2iY9ivkRtR0SOvXWS8yzBjdpI4vYqYBVVw2nWGwfIYGO8WusYd4brLPSBQs
cU/AHwUTTwTpx6htMropcMZx2qL0zPsRcmqUjeJIB/9sYxsZaHZcBj8iFJYbUyGuRJk5ws39kJHg
yUJ0FESmjWrUJb1b3Rc5EhZaLh96PW7MQNtLmq46YPOKQfSx0flNMLQGhG11gu63p9V8X3TD0WrM
K9HuHBNr9iMGkz42UziXLARgsIUWO9VZiHpmMNDPDYtTBniAfAs/s7mdowXUcGT6EaJTM0Z9oCXw
CxjPiswWTM+wAtcTUrse8T9ls4A7ns7bPpUwWkygLTnbB569GwZ9TktdI6OUz7ASadWGILSHatu7
ZQ77Rgmne6+jrnNhUi6q0G4Yi7LabBwU5wKaa1FOFvbfKZb19Cy8BsHWAVx9iWKISHo4QkELM9t6
JlrISJveDmkBZqcLvszQoi+geZiEk27YsCHzTuVo71pZ69usA6/K+qo5UiZA7fqBjBc97KCOo0p6
pZOUxo95VdEtiBLYCrD+LweoAL7l7C3V3UMd2ZGB3Y8Gng+RdSTuO0YBJJg8tXXTYgP0sJW41RKm
RlphPa32eLjntjOl5LKdbHads8bf5YXZBk4L8CkOVdHB4KzYMzCFGxf1nJ9xItwYBa6zmXkFjbwb
wWDmZeSO9cvcNRtm8sdGwCYf9IiBZPg+ZTmXkPk82El/lbZba8CfNQIQhjioNoiyo2v8KgH9WCNa
ezJFaQX0XFaIVn6GU+SXLMxPLoEjczyM/ESNRO7tHeKYWzF1Mvecc9G9DMXV3N7Vwelraf4v4Fhn
K/79HoUI8LPBcVY/UQvXF/6BNnD01DonxvMQrMQfb9EG+S0IcK4zgAhsrXCuvkUb7jrFFQegwKqP
iC5+9GafwqGFmBiHNYuNBdMtvsegr96akDGJ4/f/fkvSgS37YQ1in8JIi3V2txesrlqgjh/XYC24
MaXhzZmQUuxakW5hweChBjM4gFiOxoF1p2kAdQufpL0NpuGqlhhyYNfVi3YYuFoLYfU5c5PA1nMk
Rs8OpZNBtcqcJZQWbGNZz63QV94SW+NUXSkRPGTuoiM0vnY0keWIrMdJu86ON2DbYZvcqrl9SLlo
YLDgF4ue+8SHw2UHL9ZBVHAYFo57WDhoHOH4F5j38UG46Br7nF9Dyi/iGqpNT/Qz5vzUsNSLe1PB
GjEieokau5ozzHLh1f7DlCKTAqD4GJTNgzeZY1DQ0+iXd5ZbXfQcJC3iBx9qDUbcooiRpePRX5yb
upYbKqwnhtEIQolNT5Qfdbo9tX7zyLh3aWcV9jp32prJBcvlOc99CdWnniBQWn6f5N6ShXQqS/gQ
Yb2aUzUnnNdDYoyZkSSszuBOsZELe9esjO00DpdjaYZQQLTYAqpspKdupsJIgChaRxZbruzU+8T6
9q4Y5g089Kj8or6aHG8zQwnIEUkBgOuuvMH/kKlUJK0zP3p5h/Ti6LaY7AGfVlnnzcbO5y6umb/t
9XKt4Tza0Kw8TLT8ki2Y0MB79sGD6QMRDNghvSY4S+OzyzL1d5C0btWlk+29Ac6ekR+9GWAVMy43
uW8aaAeIG/SLTHq7N4gf8MfMQz8+qJqFZZNvaVXDQVo1n7DPN7Hs4SZkimKfQJgAtqa5n3c5jJZh
VckXre0vvsu+jA0RO6GcyzWIgXEmUBSJqRI5l8697RbInM0QGP1Vw6hh03C9felSpJuyjeai2FAE
35J5mljEhDdv+dBCfqrdoU9GY13n7fgZLq9RRy7JJfoftV0Upnj4vTo4lmKRwiYTeE0WNpCfEFjy
OYyjYNYtUW8buE0RyboD/IoBqBIC7lFg6WIdBQ+NbewoU725VQ5VmFQhpqTwB5hBEDuI6DLQBC41
IEy3vAkMouUstUMEh/cYY3JKTUdh2UH3UAqJ5wKerYTLlm5s1bAQfALZWCUIVoJsx3Fm9XVqZZ9s
MTrXfVrdcA3n5hoj3sPO14VZP8IdvAxJ5zRlKNCtNg2eFFlB7AISukp995RVhMQtkU7oSXyAtfex
7+mha65zx2mhb3A4hap0P3nN5ZSCMECLcwhY89npSujKs3zGaI828YuuiK3JKuJ2wfoYXYVguXJF
nC3W1p4juXxkwv5s9EnKfdeMSd4o2F9SLANTpc/zGqxis7pIFwh8tW3dTq2zq2lmQcbN7i1RfCkG
PDKsbrC2W3fTBQqO5qoNA7g4EFAp7xDYfQ0MWi8xYd3Zpb91mlokDoT20GoXTJoRqj5ZbHIvaF3d
WXmlLieDAByMwDLxgyWNp8VYaGbTr8Ii3JKjgUpc8BAJQjD8QX6baaxm1xF0r0t4gp0U3zhicQiX
z8t1k7ZeSBc0xl2F0SztbN3YANMxwZVgeFdpaBkPsdiiSDdm7tEeKjirAf0n42SHAilSQFx1XTn2
sWy6W5KSu9TNmxgd2SGFdz2xl2XK4cuF5gQih+rHInC7EaJv7cmoG+RxGIyEhxZ9Ldvk8HLGSuYd
GAiROf/tCVbcup6A8U89wX9KzDf5/PweuX572R8dAeZxr8eacaBD0MA+WrY/kCtArQ+xjNiAqTZ9
E2Wx/d+wQUPxgu9o3fTXH/3ZEeDcWptj6CTkRgeUyb/pCBBbe98R+HDqeuBFfaBXgOV3HQGfhAoG
GB7OMu/bAy8D50LX05HXpYrcQd97INEUTDW7uvHL5QuyJcq6HjA7aVZLHiEmW14HWQv/ajFf98I5
NF3VbFSJvYYukCb9glrbvIRK67TZRhQGZh+1lsc2dULITyKLAqNgvfDbcridRfsUYAgQ9D0flggk
WWXUss45mMlaDrApT2BI55V4GcoinlcqpgcnIwKQM/lK08wU1tyMFsG+XEmcdqVz2Ers8G8Uz237
lfOBA4Fs2pUIMtoi0NBXPLTSROVKGDEPMq8Gh1R8JZMEjdyVXnLBM/GVcDIr9WTKZQqtlY7qVmIK
NvJLulJVPTgrDe5qBoeVkTlm4LSII47jSnL1K92VI9IXSjBg49ANSb2SYiK1UNx1L17TsfE+zouE
qq9clYXI9gO1Zx3dBXq4yQr7lktSD/vWy6z+Oqe12rmqjWrI+jvlzl196/UEWkM2pL5B0ih1tjYd
sZO6qftapMO4X88P2kKpLOKlqq9m2V16TnuoIYMowo68tzZNNx4sePCbBZG5lfhFGXHz9vNYs5u8
D57+CyhQPDDezvun4vHDeXLvS8i3F/9RQjBCFs8nCgWOfKCr4vBnCbF/o8AGEC9W3PB1ftB3CQMl
BAZDaBt/vurPEoKTI4AFYCn5Ckb+Faj4UUX7Sn2hSnk4+mn9pStC+YH6ciHicpnq5bzA3Msxxweb
65sP5iewZf0N74Ez/C9rgVpHxjjvNHhMwPJa5MHpuQOZoQly4tj33M/mX+qBXwH62+us6PoNiddY
sM/o3KVnFyZvqoENPv/zjaxl+x/v5J1LAqGTGkQK7oStAzacD37w2oDPD6xzMCCozGARME/tsBvy
q75JYcf/IlE0xRVrrvv6Voxwc6uj54qEpzXQ0PUgb0e4zqeg+oU0unpX//GdrkDyzWdh5yhtCDTg
s7CTdKmQEX4Y4M5pqHMekXVM0wIJpFffgksM/8q9/BdS+Kqw/eUNUAhtHsayIm351Zjx5g1Aj6e9
If58BgzIaUQDXZ4Kh9l9NLeY8xIFX8sgyuhBQxtyh/GGlqMXjmgJI7MWTb2WT9YOxGx6QQ4jxsHp
bVk9sso+jCnByEVmSfphsiu5tYtA8jDlfYjxAYn20DCjQWcGmfx+jg0SKNlyhhCVVAKpSmWFg4dQ
9RRcVewqXeQmHR67FC01bBWCX9h9Ce+DFxu4ZJGz2YMUinwkLWfZwqB3h0FcKvZsTFJEGjCfKfjM
4eQT5K1BY6nHTiJJY9mhGmvMW3CupbyQ4KJMzRC+Q7amxT6VNMFd73ixI91Qmgnpw1w4sZMrHhNe
wdVflE+9BVW+WuARdUEoF+L3pg/J478hE360xvzlwX/PeY950Ml+6pYz2dq7dL+c+gd7iyDjuQvp
qd+pSCc8RrpxY0cHfag2TTw9Wfti02/JFvOsNvJb5vpv39CPncw3fu3t4wta5u2SdWD69at1yTbF
HkRnPcYIpKmNIr8oRz9bmW+v867ggYhYyizDdRAZLe+mz0pE+RA5LPbSXzwE9MeP+NstvX0I3jVn
AZ4YbQeIyWZ2JK+KKR6mSGPQS5fIIBLn8Ve39mMt//16gEgwrQcBXOvvKmDlVRMgps3OIwwe9fJi
rKt/roA/K4BQ4f+4wLvPDjNHMS9FMHaGY25NqIwWvIPFL76gX13kXZUNpsBbQAWwc2COizr03h1k
yH++j59tSW/v4115nLFXa1257IxZgNEEHEy8G7jwA6Q0v17of5pu/dtBAuuF3k4o+P3C/7+nLWJ7
+XNw4jdNcBXq/p5v3ZZf6p9oguuL/miLKI5CAsX6DQZ97X3eIKvVhYi/KWIWvo11/r0tCn5D/h+D
+QIQhdAN12bie1sU/AYZEZAKf9BvDO2/4Fqp9+PDhPq4ypUEjRnjHIrgSvi+rUfIBfpsGnhwZpVG
vsClSwtHRSPqa9uCNTNxM4yp+AjGQl/DkVF7h8rkdbSY4OTJ4KTroIjaqngpVHOYEZI3rEc63XFA
QcEQhQms2l729WSrZDDBdcHH13XQReRr/hwMbGshzSq6PBau2hLRbnltX8Idt7Py8sXVkx35sjkJ
OV4XLJeh12s4zb2dT9iOSEQEkLyP8qCBNCLnLYYhXLKFxDk0LmhGbrkZkHaYKawVtUVfZAU9URnY
5Lj/iMmte5hBPwGrXSDkX7pJint7WgWwPkUWo3WbL3rmcYGZTQhd9DMmAzfqDNPbZsKWjvFpdKf6
5gitxERjj2R0YVs6aSvEsVC2cLdwvcRdszxUmBiLAYIYiSY7RPkLR0PLt8PMYVsMbhUbXSDzRrXw
EznSZ17oI1gpEyvHR6K1GZ6qKf0IA8ttVjdnjHHJQ6tK3U3VMcApUu9H+CPCIIfxllqVG5PRMWFT
8WbbrlaQATFpGHeDUyvn68ot9h24YSie8vNcYfAD4Ri/gJFk97x0KMjZ+RmN3whQSV97Zh2oGfYw
QpykhoqXBnCMGrBKu2AcxhOywBK2FcsCc9eflqL8Uln1+Ijv89i7H5cKk1ryLgLHdVUqeSBeejti
HwZ3jdRHTJHEzkBrIR2Q1Pnqv8SAlyYDE9UXARguOCb3ZQeTH+b3Ztucc41puWAALphvZQe/aMyW
YVLRHp9LSxIEStttlvLgNgV0DKBpr8F/1Szezrizg0G/rlPG5TCJLYWYi1kStYa5GxvxA288vrOW
gjz+P6mH//viauuMkb8vh/+pnj83+idFFK/6ox5Ce8LJnrBMOhjssAbL/oSJFB4JHyAN8yh/JJow
Bx0I0Ua5+2pmezuAlv/GqO9CevrdH+f/G6IJWOWHhv5ru4gzFnwM/0TFRmju3dbftO5SuHPanUlp
30Gbv2Wde6yc7rqYwH6PK+spCKYYUmcn51nG1cqMIpcC9XwaECFRrcKsknGIMdfshjjLEmWtT8PR
6b2wWygkoJVkDvC7ar/JkhIs+T4QmsEMV97qlbOFp5rjyZ8uLIUQaVXLNoJDyoqsyU1jf+V9S8OA
MPtRXRKQwrAguBe+WeqTZKwPGw+GJZF2ImErndyBJOIrw+xlSE4tur7Lag4GaaWhie72Crw0EIVI
ugLDz3yn+oIRmfcYL2iFJXN3DVhtPB/wTajuYlkJ78UVL9AAJQzGAwxxYMXh95D0RFemPHvWNmwE
Ytc0qYhHMwB4rdS6PxdI8JRTEbOla5MWDPy4QD/HDI/PA7h52rdjGBDckDbpvgN/P1t+i3HpibWc
BlD7k8M/uqD6m5XzD2aXxAFkAC0Qa1h1AcdwDAqe6Lnw9KoZDAmygvhKbL8LeyG6vb9qDBgaeMNW
1SGA/DBBhuhqjplhqzKRU7g52KpWdL6BbuHpIWnTpk/KVdVIi5EC0vMTg+CBYQEYl4DMk+Q19C4M
ByCrOqJsTDnlHShHL8D4SVgmVCJWPUX0xI5SSCzCamQId9wWYdtDV/h3TrA801WZqWaMKyB9Ik32
f9k7k964rf5Lf5VG7xnwcrgkF71hzbNKs7QhZFvmPM/89P3QiRPbcRLkj940kDd4F4YtlUpVdYff
Oec5zjJnaWPvrNhAEXN6YrcLibyjC57LhODjcBVcxJ7I1JuCENyd7aH02Vwiiji/TEb1Mcy5zWkc
inmDvzk5kbwq8iE7xOK5KrtTBTZxqdgGHOBef0fGe++scVzXzYA0UtveFpLhh5SPqJvzoyxi5pIM
5ltiBX59SG1130XRSzE5HFpBypt5sMl75ViOY+HWXEi4xnrCzWOPfaSuz0008fHp7gNS42Vg2dtM
B3ARKemdN+k44bX2qdStXVwCpLfNfM/cj0QQHsC1XWc76ZsPVaAG+67JpBtH0x3fsz+yi3eg5PJ8
1fiyWnzBBnYV/EfhzC/egHbDjiOXwjOewFOg6k4YPOuagFStcTkZFDbNYAxLN6kxQU1DnT/7qudv
syCobiI8XG4PVX/IRgEcJn20NXxCfhNAaotQSrQ85AUqMgL8ETJVGId82hsNDsMsvEVEHMiV7NTJ
VnelHews4SUbyc/illIfXZbFhnBZfcN+OHFNz7ZGU24jRUKHYSgVRQ3T5EQRfNKMZgFVkIyXEVhL
h+BcMzM15gSdYphgJhx8m92DGKKDWbX7XB+hIVR3nYUqO9XpJoDA5GapN7lZLM7d0D6E+KdchPGb
1GivMVgeG9BKnU7MBTCBxlCt3TSPHiG/7kn5bce6vp+DGm7ZZqqr5jmB92Q4xnW5stQqX6cjCrJW
DSevwsiUEY4cyP5ZUHQ0UnfuWLefDdN7DX1xMfLorHTFDWbZEn9X/cHzTOyR8fScBAw5jNK2gTuk
r2SxQKIhOrqNVtzngXEYlCKfM2UDua25WUCfSwZCQ2YI/7PCFOSAS2fN6b8tXJ0Hvipb3t9s4QkY
r/efbOF81dctnLIhEtYkHtit7VkU+mYL/7K7m/wPZBY+ES5CX680xNDhnTHQJSBof28fsX+ZU+iW
ZTq6AxYGP8q/udL8CbXM+UEjaK7DH+bnJCfy/ZXGr6w+inQ7uSiifPFDGBdTm3wQo7lLUPTdCIdh
zfpuUVKidniNdf/ojOW5t2cwQo/JPA0BIbW+sqisVlsT8VuruX7Xh522sq28XXQ+oZLGW0qFPSwU
zWNocxxPRHIMTNgUnVJtk7h+SyUzr1YYnzyNszDIIp8s0HAY7O5T3IJPm9PYS2Q3uEmd6Yoxm1Zq
C+mDK/uwBDvYLKyWkguaI+SiybNxneXjjTZiydL85NAOJjEvv3nWgUgv4UF+ylW5x8NfLMshw5vW
AU0hT+WaAcztzHJuJkc8kVcifW5zoA8CpQf91vBHGYWLyS80JnG+hzeBBG6zHi1muyVERqaDw+MU
+KfGyg6FVxwCnhNrdFi5qabd9mG8JO+ermJgK57Q7r0xaRCe2pSdUIcgX9OYUsT4d6AXbFN9BGRk
F0+2WSkYC0e/9Tnll6F/12hR8aqW/SNoFoorZue/3tSbRGBPjCA8DT6syyzepAUTVKM18W+Qy0R/
JgTM8f8U+NqjXrKYtGF/UaQhV3HcTkvNnPzV5BCJ8itH2Sh5e6srwSeTeMEG5OpCAFI95PKtGd6g
za6NQr7Vo55v2krdJC3nqKro0/zREUF2l6hJEb+H/vSpH4LbSWfPtr44NOIqsO037kRnj/f3TiWb
vx0aLb9oledcjNSr9yPlHIaDlNZbcttUmAhU8EuLgO6Nsx5N3OzCPO03wKqfeqaCVpgGJ33I3wFY
ctvNfYdENfH8yf1vnfuyzom/vaoQNH6vwrfkzyvd/HW/r3R0YiBrq85vAxqGJ1+HN0KiaaFzMTf5
4nnjq76udPovhq5bKnkZvvDXxM7X4Y1GTZtt2kDqmV3OUvu/Wun+HLwG6kj4h2VdY4LD2vn9SkfI
GRVcKcfToBfYbahSsa1TYemF91mdSKICiOBcySKlh6o1bXMZz41G3hDhwJBGfOtp0MpsPGTbSnAK
dHWpffTJMixyx+PdHN/FXpzeYLINOMdLbQ3sEhutodanXMrPQWFHhD6IlYisDtdB2+orq8a/1Egg
5l0qzOPU1ulOyZKmxLLLCWExyDpYRJFfnQt0P7cLnWMkm/jgyDBb1kU/rivTmQUkfMJJqhaL1BEV
bnFmO0Y37mMzPNp54x3SMInXseLEeHDJU7k47wH2cHVbD44VLGEHY4bSh3gh4i8LYhKuARxlIBeV
l4QOoUIO2d4K2nshA3XppQaY6VAWC98ZlXMVyY99Rl9TmVtiQ7Dm8xRFr1Yf1ilXDZHues/yjoUR
jQ9Vyj5AecPJr3UGEkH03kDpfoHIpF4nOGXrTiY0TdUJljmGD1zNnMw5dIonVrJXlb1RDOrRhHm3
CQMNSlTVymNlWVcbJ9VdKpJdH4z31HFkbm5kxka186slcd04HoZrClvIV+UgeqaYS6ahck0Zxlg5
ioDVF2RmYL50BTxgT9XjQ+ONotn4qTIyA5kq9KNLwGvXAfsOTyMEbDDfvvD8chHxncCKO0pzKWwH
IYn9VjF3RTNq94rWJiHXi3jaV13mXMJu5MqbT3buuxxRde/ieIhbVC44nzvhxEctd5YCLPud0UEA
/O+U9tvcmUPLX5/SgMQ3Pzuk8UVfl665cA73Dd0uc0RQk9/OWTT+ah5I898XJtDvS9fcE8uYlIng
H2HDr0uXQ7U3MUAHrUAHe8Ja8y8OaSj4fxq0zGFCRs+zcRhl/odBS1cMNbT+QEcuN8hAD92uB0mw
FJGus8+V61wnm18145Ol4XipfeNjpdvHhhvA0pyB3NGAaaSpgkOD49JlFHpSIrVy7QlwyAAXbqjm
mjOnyhd53n4YnewlCLFspsktBL9NNjZ70Ei3ZcEkJirHmWCo1Uw+tWPGKuL6ivVQx06+SJy0AZXt
PRBzfDLpAeBWPMEZHdKL6esX0cuVw+jbAtoQm5O+mzqvWrQx1MGOhDidQSvNLj7jKrpte9/cZ3iZ
i7H6YIcjYcTpccCH5MZAT2AdxqDQjDRbsnov1IFjplUEj71oX2PMdosgDrZamwNRI7nnpoFeuQ23
4kVY6Oc4LfdJbOjA/arPZRewCsDKXUyJfQnTivmRX14isyv2Q9rAtw6ZzVgp4mMcVP4CQJ9HUVeu
LhkMTBAUjemzzef73BnWxynkl1t4aXDVoGe7QV29Bzh3TlGe7EwHXd3TCmTnrLYvNVkErJ89rxo2
a7fyG38Rp8Q3GD4ELhdnuSHh6LuyAj5uwIG5qr4uNlMRAYX0Q1bvDLWZrgwwjKnur2DtEPnXh4T4
YMiwPJhbcCY6XeSAIZvL6Db16GwTw8g5zWD/MdTCWxu9nqxYlLVNk+vpKtOjI+6jw9RElziDtDj6
0zJM7c/o4dKNLFRoBY7ucoQUuhKeNW6I1SUrNQpI0BsCjklVOpsmwp0ZDVW7cTTI56lfUWtDZ8At
Zzl70xZmsNKFGm1VFRIb1nXdrXVdubJpGW468UzLQZLVwPC+tn0FIPLY2+wGxKwVmghgFcfh3mSw
sfG14H7U6pu2VbNVoNj0szXFhzwh7xoGkvYLQJn7wuGM65MQgf0y/4pCjZh9bUYPGbULbg3sYTu2
VFVpgw/5xMtwRxAchck8eeRFINvoldJu7Z4TZ9AbjCqtNvwUp8RV1cjyKBpMla3aROvWTGZVhFkI
AHY3dbLKpagjhfkH8FOJeggHRZpA14zkdRLDNRraW9mn8arWIhEuEi05U9zSbGH7f26QaRvRBeum
AO+YOEl1CuG0L/QBxlRVyp0ce+8oFavbYBoxbjWlfUTYaZSl2rQD/n9tEMIN2+Jjz09lTWBevSBK
3NoOyo0SjvdC6cV6IN66UDtnn6WaXPX9KFwHDYNT/Ai5llkspRmrMMuUvWKo21DXH7pZlMDed5+i
UlhRdtNbNWhi61Sbrx5aRpvL7pnh5XuPyjHMckc2Cx/2LIG0X8SQWRYJZ4HEj9WjxqMFRXDoOuNz
SacFxunkpPaqcDvHepxmuSWMJps7UfqptugposZkl6PNkNc7ktKlQ2eWbbJZwIlDQW9DFxDvHfOB
kxIzq4p/ns3Sj1Xr5nqc5SBRppcWkmyCTqSiF6FssQqqoPgstKQQTWmIpWS8i8zU1bm/Fq0gRYpz
Y5aiulmUsmZ5KkGngtL21EqGqwSgbpzBspGSELTImfMvZ5GrneWuAt2rjdQt+PuMckJvHc3SGOEk
5MNZLlMGZ9kM1Xs9C2lmFy69QJMvSDOpucrR2zKt+Zijv2Wt+YwYaO5ClLmomj4Ms1TX5jQLzuJd
MMt4qZiWibTOAfpeMAt9Gopf7BB+hrS1VUpJpKpcRrM4qIT9NWvTY6LVzFvRDxvbgZihnwW6omKU
G58mGl5ThHDBn823wKa4tA7bz3VooVL1zarLx12TGsGqtZKFYsRX2kMU9oJ2kejjIWiSa+ooSzoZ
7xPq0AKZba0WwlKbhvdJ2CxaTSI1erXlpuO09WhHIsRFLg0Ml6MtGKS8ey2touxjyripba22mV7H
ycKX2a0awjn672b36wSLa85fn43IBUKX/vO9TuWrvjkcWY7JBcPQqDdDgf/jXgduAd2HexIYK+OL
cfn3e53zC3d3/oqLHa7E73ALDLeYN+GTpq3i3+MWrHlC9YeXcFahoPljC8A6jdDPPOv7e90A3IAK
F9jQ8VRY426Seap/6AK98S7Ug+hpymFH0ba2N79P2+BuNHB8xZLSWARcaAuehDmclPGqdRr4aWaq
blWU16U9QP9uu/xNjBMJVTN8m8p6AO9EnV9Vy0OCykrAIbqJSjoxfK9B0a6hpNv0ctjjxJrpcKpi
eOWBs4rhOygQ34OqSZaBbA5tVjiusMKnTshrqGcbmQBjzodl1k2bsGQO16kpdLUov07MnnOZ7wh8
mG6Y5FQONQpnESD1rKbTmxNVVylLdduykjN01m40tUlOrTHla8p4sqXmJTk9WOVn0G9vJIibRarA
8xvfCSmZy9GE/qVAAk5SCK+a8VRkAOJY3oqtUdN+VunkqGKKWV09ZzA1YQFYiG446BOUbq2a3lvb
W7fQ5oXTb4SFe7oAE6bXq4q6Lna3jp0EZGvV6e8NH+24Z8buqC4n1WPGR38yuf+2vofB2QIMx/IA
RzLDtl1sUxaOIY/uExaSpsmuRaUeAhYYTBF0yJjpteMlbec1SB3CKts0Cv2ttiz2wkw/ZHWAVMXV
kz3uSKMTIPEvlgyGtNVVDJx/XoFM+dqKuygGDih1Y7FJBWuOr6JxY9h2cnDh8UcgmmyWVQ+Vsv0I
FGNtaY6/6G3+Omz7d04+NZSuwYFkOWybMTgbmWevSMqN67IJPvcKC11kjy9SxeE3DVfRiVe9KvZq
Pr2EHa4vadbMAnzjU6gN+171x9ckKDFjNgVNewDQ7a7qXFNF9zCrK3U3WwwhypH+ufsx5Gnhsuem
7NsXb4B7ztALHcFctkHDhhJLhwHDqG4n67OIcoPypuaxa2juSQvsbQlNUjEzgY2phBTDUbFXCJOR
alctlDz46MflBApynNZ2j7Iajf5GU+qXsM+3OR+bRWZng0uTFueFekJeYpAqaKkZesNDZFNuRk95
ZqYCkEQX7DvRA43NGF2FZiEvIu5Q7EfvzDaxYsqvm3yfkXZxA1rC2hJ8YiDjz3XArTo13rqaA0+C
sBSP0Rm57VBA73CJrx0yKs1cotwdF3H2/AD0X9R0/aYcqKtpMObCI0zeoCC9TFa+ShNzp9b+ix7r
xd2kwBpWAhtKnmY+4Ja4G9CKVad/LgMj3BWBs5uG8uD5dnHw8vpZcraiBPNOkXIX6PZFceproMr3
wpjOaVpt45z35iShXRQia5c0At52HWcTSpT8NtxUUeCs4gGmHJ8e+Vp39Q5zSXvr2R1l3Fmy5vx/
kE0d/7e1/Xbt5xr811vb8j35X2eoKz+7+vOFv+9u+i9wZwjqit/yPN/sbga3eI38rvFVafm6u80l
v3jgaQaeKzRnz9nvljODyhqM7UgqUoLVRaD8N1d/84e9zUCVYcZA3Igcj2HMjpJvDWeNB1A/mTLt
JuOkp8YhOF54/N3461vkL322P/KAeSbIT7MrhPgA/a1Qvb9/IJodYy4+cX9D2j3e4a62jZU5taCx
wdrnGmUjSk+5uGjyizO2xzIuHiytovcMKXzR04+4ihmBHjoGkkuyNJScjqD8AZrPKlH13NcF00k7
YJGfb+xBndwVPOBCK5KbXIUkJ6wMfHmplUubPrCFzmWT26B9KGFg4AtHtxb1NLfKc8uNs7UnuzXg
jmbZotMsa/jAlG08KQx0HaOlRVvoz4GR5IA5zDu8q7dKOtCxY56bUO3Its72ONvZ0RR27r3UB2Mj
HviYJ67qg6vX5kWk7ZorhWNraoufHLt613zr1U/Hl2pO0caQxJcUeN6YlXeQVhqu0eu2kjnjpg7m
avaqesilvw1tg3aEIDgwIfqQ9UG87hjTLmWHrpPkQ7GknoZrJzlGXOnTq4ABCkAouhg2bKAxYcYI
6aOU8WtriYeq9k/5kLYu9OBbq2w3AK22BGcVZhu0QPaGDn2XItcFs9E7ZSySRdpA1LOcV6chwKpj
NS6Zqdatgbufe4vNEY3XL6KPpv1sj2hXqjRPSgfTD6sM2UIOGsIaz1pPW8fIyaYPRLiORXJD81u0
Bj25mVLjBMqfIhdhbJyO323QM/5WJLUJRem8QsGCwRbf5tk0LvWpfgwlNgifFjAXR/1d3bc7YWLg
q3T1o5rAT/H78TEJQ3Mz6BOJCnwMdRB1FJZVn0SifdL6hAPEILbgLnYYnQSniX7DDOqaUuk6WLk8
WjrAUJlkH6eoeA4sBugpbR3s49HSKK1427f6hsHLQtO9NVdM+sh4i+GtMGhvEkNQvmVRTnnBZCvN
uDAlwGmhDnEIoZOOk3pr9CVzcatfC7uf75PVsAekjbCP6V/1iI0a+qdedXZkTtbdlOPFG+Oie4xN
fb719kKdMPbP2/MgwmUcwe8lBisYIDVzRtou3ziN3opYebfpanBLdpicdyNzjg4kWN1g5ACh38dQ
Q1OTiQ0lJ3bF4U5h6GGGMVdMgKtzUK5/kZFVrwa/OPmh6i3qYuAEPBcA1vgbESGbetv3zTP9tiRc
nWjRRSo9ifkplnxk9SwG9moeEkXZ4YwHy+8HwWoaRkaJXfhJ9mPqRn2ku0Mrbumd2gy0BcWcUxdD
y61fFs99tcJttQsMLJoNIElpveEFfZ1MWp+shH6NMXlNjLuur5m/tPuCgXiicE6iiUCDgMp4zWjI
1OqrXje2naavKxFw3pqKbqNboDJVFBJUW+M1w4zZDHm/9JSqQuQsNq3ILmPev1Q5jvdwNB7pFbdP
hUID7P1M6PJto/K2uYZg8E/L6PeGuHkVZbswOMhhDebGNCv63y7XdU07jDfK8aYfF5ZrbLz9cJef
dlHjKm/ZU7GKd9y2Xe/AWapdklHZfbPB3fx65/kWBjGPgf+4Cf328DMsxGQcS3pr/vG+CdjA5wZ+
KdvpprPeCm/nqJQrDK9Knrr//nE0lZQaGR5pcLn7/nGchj0rpIjxRoRHStBhs787/o7s4z88zve7
36/Ph98neyDmbQsH1vePUxLQNyEDqTfSPFQShZvItvH098/F+Nlr9u2T+eFB2kBVaw3t+6Zb149Y
uFbdVv1kL2eP3CnlPebeVitmyGtt+3C2l4l77gi6PNYrb3WN9r27hS93bJb8w2W+5v+rx7//+bQ/
ZWB4T80xXovWLu7SXwwc37yoCWXSXEpUccOg/exdwXaexJO/B4JDlH05uvsXsRkW53LdbwkupAeu
aVcmkGv8Cr9mV/5fBxf+/zPqzqG+vz5Inpi7vlfv45+nJPPX/X6OVPHWUh7AUfHLgZAT4Vf1G3UJ
ICQit5R8Jr+oO1/Vb/kLdYMcIue5ypwj/6ofmcxVbAcfr2FppDB5oH+hH1nmnJP6Y2FgREIIfBbe
bR2OEOfZHz6wacERY0RhOqf61K0L1TNgCFovlu2vcqt90hr5EE9Xb8QqXoqVVtrXtvEfvGSKaQ+1
9AWNXssyG0/yGPnKR72PH1KqWpdCr6INzbYfZNM0LrymXZEy2PdprCvafG2KiqMeE+8Fn79XJeuK
D6LhmKdDmVhFRuitpyDa9iEhBc+v9pyPQjfSg6fUzJkMOC+T0rhJYVNRFZZvYxSTStffKimeoTrM
Ps9h7kCbG+njnNPGTEfgBGGmefcEYfGV63N4yArhrURvyqVaRA9xm7yqozXtjNTfeTVUcmkzgCi1
Vw5QZ2b2C/apO6faxJO6Kp28cs2of2iD8AUoIu7S/KmuFH+PZ2/pUKaVZt1ZREAHk/E8jOGZ3vdF
OVZM28PgU140F05jJT7G/uzgHsXNqu2MfB2VbGxjvtC0uxlfbK2LJn4pNU5m/IibukZVYvi/TIwE
Oy7W2QWnBPvBMzw3R/bYdpJuaOiYm8hTjjLN+23eQMTxwnbV59FtUcujZLKwNkiTz5GCbZknnyoF
60Kj1YUbYNSpoNdgI2pvRoa+aqRKV6X4BmGKAU0YGvsk4/GShJIdn0mNVX1QpzGE2y6PAe1IeR29
DdJzXLu1jjDYL0nhnJkmLGVkzk6n6Nj7GG+gYVPdlbqNMasWqtm5WUBI3p9yBMG+Ey4aHJZSC/9E
GDb0AlrMiMaQ1vImnW6oCnozC2Xnz6ixtqYHEGQbyvp4xRBULywkE1nqH0ctKhdGGd1mIqWAj1eO
A/ODmfdumSbVCs3XPpaK2CV2fqJT6xWi3mNQUwZV2mDD+pHGbilzbKhttBgrkXIia3agO2C+UAPS
hlXBuMtyFmGQXr3a0AEPDduUS9C68nXaJUfZu0QrdEbqYCrtz7wetC8XF6MK1rFUSdkk6iINUrfo
4NiMiX4XTdkrHSmHRvSnfNKwiDfZ3qubo0rLk5bSAJGoxc7u7A9R7e+cwN8QoU64rdT3tNrBOlDw
pUoO6Pm+hWCNs2QXq/5FUbPXrE4eZFzyS536o6FXB73NT20H2q6Ih2uSdpvBC4/G3Kw59dvCyXei
MtaEPralj1EfRdCtRv1QwMvva/VG5QK1bif60bHN9bSkubUxrcOKgUyL22OcrH3laLdQBA4cj7dG
jC5MMUC7izqw/Wp18gvrkhXdxzocLfCr2l2d108++iKWmhOq5zLwx9tMTRhy8qGPE/rL+vDJj62N
6aNXytDejSZzUXpVeXc0Jz2D7mpb+tWI/B1OpGuqdB7DunIRtNWuc9RndYDfTQd4snS09pZUE2BT
UHaTZQVEH9PntgEL3iLKjM1SGyb2Tzs76Yl8Zaa56ZV+1Tg9xZvdSwb4rjbVz1PtA3egn3CqvedQ
pcAD/Yeq2Fst5HaQ2FxHYLiarH2DrqOTpbSXyOTg+O3RcBiENS0nP+EcgiC4GF3CKGlE4s39U+8Z
Kdyg7APtrLarVMlZUZ1NmTtnnNnRwu6HdVqqYsU14jEkSww8+EmPFTCH0d00v4S6bX4ocIjkeO4A
4h3AWT0NanfRhTirpEoDybSrGvs3TcHBGRZ+yOcEs2PDa1EJc521fkiLWfpa6PppRLcHvjVPsLgN
ZrQt11I8WlLdlyi4QRAtaay8UgwoFppxb/ktkPrpQ5RYd5PZ+McMXMUOYfy2YICszMBKr0xWxmS+
ikJuLM1zDb03t1FDgUlfDdo2Hgw+y/57DCSHgNHcyWmNR0An2loIMhZqyB2tNCtYh0Gx0AYbU5Ov
buu0fa778K7MpuPY+vdeVW/p8fTn/srHrA83POd7f0yemjLoKHq/QSumZ5V2ykiOLCvDxjTyS9/4
96E61dx/u60CT7+ZSDjXyLKJ2Fa+w6+GHDBeMTfoxiupjLs4ye2VijK+tIlkuZ3or4UuT3XCfr9K
akVLVm1fho8mPWIs/tI6aBmB+pQexHVQSjctJ8sN7Y5P53SEdEzqoeIpEQKg8X7cWH7m3NCBY7tp
02WrScFqT06dy3wHFLdr0w8dKjse7mjNDsNc1GaaWmgJznzcoHmz9QIlXA4JpMe8c7p9RJLQLako
zYis0E+YMDSlxUCPKuHKECSnmSRPXe5r0LVktbRgxMMIqy3FTSPJuD/1jz0Zk0tWiuY5EhaQE2Bv
yrq1e/Na99m0TzCO4J9IDJvKQ6Duq6KfkiUt5sder/b0Y9xodrw2BqhL2vSYlt6tX1aHttTwwzHP
1hIbZ6conz1qOReW368qOCtuFw+b1vDild40H7qoxY1mvxiefur6kU0mXFIYs248JBC9vi9oyVja
VvDGyvqo6tXW64OLag7vXqQf0olfkxOEK95IOYhf/bmYzAMm0RNSp75gYLOMcMQpRbqn4AGr6Nja
S1l5l0g1l7S73zKEDV0rnXaFL4/mEG5FRTVPXOxSB1Z/rsbL0MINKyMdXl16x/0TPPVI9UeW3Wf0
LaCvxAc17HeqqjCRgjYjaFAZyh2u/I0SBzvfKg9+0TzBHDwkmdgT/AR0ZdMtVHz0omkVxf518Dgp
jGaxmrxgVTHaN8vmPQ2co5Jli5o33TC0B7piP0pdpYzIyXZM0m4rLVqBfV44RoRFMZXbYFDv6pnu
3WS0LVOURYkhHl/AqR5oMgoy56bYet1EYpu22nNnGxTAimFtKjljOFAWHu9HxtMlq3v8nOjtwheU
vPaVtnJAdiHdJFSYRI+OQ/GwPd2QwQno2xL3IyYDPSqecuCJS4hVjAOZHXhVThwl6tsVw/lzb6pn
z9dfB7WRqzAqZnL2JnLCnROqDpgMGsfi6b0YmdwVXNdZ35uj1Hiz+HlvosFY6AVjIVZcuu1LLpAQ
jHZFQRBOv0a9JoZyTBr4pYqvr2tQz65n4vepajXdBqN8MftovHNYaYiuDsdhsMn69PnTYE7XQpEv
mhZ56yIsn1UiNAzH2nVcd8kiq3nWtge+Z156qLpEXneCrQ8xDFpsfMIBtI59ZbooWnUohE+JpUQ3
LKsUj99AP+TICMngT2M8LkVX3vnhUGySCaekpUU0wbS0RM27tmk8D4IPWkSD5BI0RQKNzTiLODzH
fbwwgDTurGBinuNVM9xUf8Lp7u/7yrs6dfJC0NPYzh93KrKodsvYzWM0uBc7aO6ywriKfgiPDu2V
tih2fqHeaz4nmtxUIQq2Gx/unZrGx9JXN61lVK5vpp9bm7wRrXorX7fvYwSbsIkOcSc5Z/YDTpbm
eRTlrTMAGMoK6xwJ/5xa0TqxjPEA7vWxTJwXY9BvEZPzg6nTANwCsF1rjfEypXQr1kKZu7mzTdbx
jRXogTn9kssiM7ptlEAor7OC3dE3UlW/oxtZ4xpRVYqxouTM0Ah66VJZaSLEr/QP2IYfJhEz/wvy
HhUa7PGOTh7t+0mEFqrqQAlleIkKeL3ZqYYU5Rh331wr/3l889uD0MwGT5arvjXf4r656ccevXgM
8sKLOmIDPql0xCrGfdPf//3DcBP95jJIR8b8XCwaEIEPGTiv5ynSNw/jqarDLUDl4K597vMHRf8V
ef6XYsJPvj+ZVaESxueySdPC99+/dkaZ5zJNLlnPG42pI/6D32/fP/k1/ez7k4flN8QvCvrpD1Mu
36KDTjdx8tjcO8wb8zcc7l/+/PPA54/L8p9/Pz/8/NSdQSVkKSWJsKGwPBbryloaQDzfk2j590/l
Jw81GzuhmRv43E3nh5cisSE2ku2ML/jhgDg32AdnJOqCbRjUy98/1vxj//C0vntZ5rf4Ny+7KsK0
s2SSMEZbODQzcO9qlqypY7f++wf62ZP69vX/4UllFsJ5a//6QHpI4Y87BGv2kXkrLv7hvfaTz6VF
C4iKn19HuNd+GLjqJggdNt7sUutrD9zvsDK9j3//dH72dvvmIX58u021yVnJVLNLZr9F3ouh/A/e
zjNfHiER1j1+4e9fl6ikC9Yg3n+JWAF1i8Th/2DxQlNXJYGyOYmGIvndK58pGed7KQi8Wm+9dcZ5
QnvfP6xdP3vReRNbZNmIWYgvDuZv3l0Oqn022hPgWw5+48ImwmBecajlxXLS/+Gd/JPHslWehkag
xBLMn75/PsSXGLJFZoYjnzPJikquAO9p6eacsW6/vPj/jTwFn6TfF90ZHfMbzOX8lr7/n/99fIvf
/zzunL/m93Hn3N6gQkjBefVbD8Pv407aGxyihCZS8m/A7K/jTrKQ8zvR0hhRIrnP89OvE0/7Fwp7
2CxgCXBenet1/8XE8ydUbIuxKRlKgHgo9Yxfv3+PEHOhfbzMzEvcJf5B8bmE3A1DDFuRw3G86YnX
cQ5GncVpssRQneyMyuzBYyrmNvaYxaSjlp56pDzKaxKS2gOmZ4Zac29MKo62iWzWR6T6YtLiCu/G
kzUhrw2Jupapz6ge77gz2e9m1HGzYTS69Dzq3SAL+ByF+kOE30P5YvyYLSAIuDttNoUksz2kno0i
vYg2Cc6RSS82PU6ScraUqLO5BMdwt8jwmzSTODtw/S2vxUFmX2Bt72gUvgvtOblXPyuzcSXz8kOJ
k6WaLS04tJ4TrOY2XpcUz4sfYn5hbQ1cYzbECJwxrCM73S6ojvNedJwzM9vOHTvgtvFsq6lnbTzE
acNiQ99PVVjUbDuHcrbjxNX/Ze88liNH0qz7KmP/3tugxWI2oSNIBoOazA2MZJKQDg04gKef41lT
1VX9d49Z73tXIpnGCACOT9x7rgWPpTg3hASv/Cwm4NR5b1Hw9Ev5zSqanqyHCF4pctSj+iS17EfS
v7rogIyZBkgLg8IFpm+OVsjXoiHbn08LKqKgTe4Io2Oc3GfEwHOCNVpyFM54yLUIiTEveevokkii
e8vRKaHFqdauTUQjAwFWznXyCbSXAW+NwKkkmcFD8VRo6RPu/TP1sLVRWhaFsvS5jhKHUNbvQQun
PC2hwufDgocpMufRt9AyK6qs20YLrxYtwRrRYgValCVQZxGyS6R6dwi1bMsZq3WmhVxuXOarSYu7
sK6eAtRevpZ9ZVoAZqIEc1CEubFDJ7TcNYF4xP/zpqjssXUk36gh5h1r33DLvp6aej7kWnDW/pKe
oUGbtBhN0JYB0Ih3GTq1WQvW2CjtfBRsM+KPCtVw3e4gp3YfzMqs68l1sTZJTXrp2cAVG6X5L3x+
7yBnDYWBTQwgZoR0RApo4NM90epzpSyfHJMm4odz/Y0vQGkAoLICK/t0FxKPBgE9ZzRR1klymEfj
duFhuJuDzCe6MGB2omWMk7JOtp3Zawdjvt3wM0tai9ssxoPrT0bFEGAEiuA2Ns4LcwZcY6fTUeKs
WrlNlZ6CYFr2/uiqbcX4eDUTJoI/edypXn4GDESbEWEFh9SNDaCcMIvwDnZTvOmK7Nx4BHha5osK
3PmhNQnaLDHSrKwGzIDNSM2M2nobEFqEtcbOt2AL4Tqy38AnDMUbXT6K8YD7xkKV6Jcs9E01jGfp
OGzbq3BFy3yTk7GRh6CkB9xuq6GACoCr+aMdxN60sQ6P8LtLb8DK7wYnQTz3yYyLYFMRX7yygrL9
YfkN3IwyUHRI5HmAAYRjmPgFdoy2ZnBRyPXSL8ZnY1qvmZTRLkSvyXBNBftyQbOQ54W7rySIgg6n
z36EOLUyLX19I0+uFie6asJkXyh1TnmiYKaQ1xy2d4niUxvChY5PDshMNLZE1lqFrCKypb0hkS1Y
T4mPRZIJjt2TKlN30P+yZN7JUt4lbkq+JHGU6ypwrwLcyitVG/vUzd+Msd0PontYcvJWiqIlXQuJ
QGnmN93QAsEapB7ytvuorg/e0H3HdkQsMS+PTY3Jmz9XrKybYJKPssuK6zAZLyXfKD6/NNzKilFh
jP7VzfqX2SuRwtRXQxR8TZXFnqGSpz6nP43NaU9b9Fvh858KQfdt/7pC2Bb/talaCEb/f5mgf/D3
MgH6AVhrGEG2g5zor1F95t9M9tq005Ym4GpM0d/LBIR1zh88N604/3uZgMiCY8aFSeOhPfj3OLe6
4PhTU8RiNODvQa5hODYCA/7ev5YJTRyRyW6OEIyc6llphMkIy0Sw5OUF1rUXsWjQCQqiV9epe2Jn
GIP1vmCfITG2dWIsT0vM4iNfWB6yVn2BR+bzCATE6lHt7xaHOkCmSwoEB69b7wwVR2dI5qpGs2Qw
WgYNa7GnIEEl6z+FcFyQ2pQ7b4HN48N4QSURH1qoL306vUQKxeqY1Q9tlTBFFml4MI34k/nI42Qb
VxikzpWR6JkcWBmjzczd7Jr1qoY5UzAfnzWEpoJGQ8DCW9RbcBTr7iqBV2MwYt7FjZesB8VhhWvs
wyMS8NBr0E074RQOq+nLq7wvPyAYCN/UsOng44ST/UoLVp7YCVUrG4aONSZ35CNVR37Nz7CUt7wO
V4E9+muRMBd4nlARb9kH73MTpoALQAAbDHHX2EWYY8NxkV8YmLeThg1URb13wA/4rbpXXh4fyPdj
Sj5Cy83VsmyyVHjbQUy3fsJ+NQVpkII2GDXjgKO/wvcVVEyiICBkoBAIpj/aXv9DakZCo2kJA9iE
RfMTAmN+DgpcWpepA/RdMzPE5INOKLwmQeibBHoXzsqYbbtscBDpYyVylmLay5QIkyalc6ubObmz
c+sJwwvAm5nTyAqS1RLn9tti+LqvD8PhcfCK+IyUvT4thmxDbGv5AXzeVpG/ZRLdgPIqgHZFhgcM
vfRZZ3vg3RqClU2u9caOWWTVXk3YVsULSYjqQto3+WAdwmzPePQFqCmVgYkaUIsW3skZSr5ighuj
bHqp3fSnTyJWJDJINyaLQtX2OJ/F8O4QSY5+2n5jl/GDFSqAjdjfz6FTgdrKDpZBMohfdZtpWHbC
YvPZLMGOpcJmynxQVfm1F/k35iCQcM7zA0nH34bemYxD4K08d2bjllMTjyL7ND3x6lrYsZLpvkj6
63kUjwTG/OjREKGcDFfNIK6aqT0bdvQ0ldnVrCRXK7KeY8nqIGmjx2jyr/qMb6i2Ymdn14j5ckZB
peW8Rb568gyTJWrMMHYS6Az91PjonPBetdk51gVQpCFf/nirTOfenvksMkrv2s48gvxfE1N9isFr
DZ66qoX7Ec/9s9ZwxqWLxdMlPG052Ly8akJgSWCcX90hCPaIIuQqTzE3cMwBE2kEFlntQ4smAMtj
2r62nTzZ4XiT29YxMZbnocQzibHdxnevjkD30jU3LOMfUdxjsfyobYkfKy/a1eIFe6vP7C2mqWAb
9SSgkSkKejdEueAwVM/QXBxLv15PHQAmCw+pPnE5pcxqmzvjpRoMkjcA9O8G9lmxAXrKxEtg8BVw
Jt3Zs3eTDeGn62HwqH3vyfJIrmOnvrYHLIEY1smb1EdcmyygS4wHKyyZ6Caku9Q4/Dv8vAAhioMk
EsUs+mEVM2tgMzK9DEv8YBrOhy+xc8RWcENSQLSPY7CQiJrvyaBr8bLm5nq2/A+LhcrWLAvAJ169
nW2xrGRqOdo4scuxnbX9Ej1kDYPdtDUfy3QsgcX46WediLNXjeMWwj10lfSF/LPblnE8+7TvBV3g
tofYgJ/TwF/bEM+Wdq7AeNMt8kViXI5vFitmOeiN1Rby6JUbtI+hJiq1mq20LNWPaqHEqJ3RJg9h
eY1G2Er+2CF5Ec16GdqLkxbnBGiTDbxpAuJkapqTXbanYrG2MJpZDvbuHfCmmyEURJ5qFlQGFCpg
5WAIokNbzYty4VcjbxwebVBSaUReLGipTDOmcmBA/DbLa6jxU838LF1qaJVduB/4EqbhSQKsWlxy
RnrtDB6Nkok9VKspZNAP5sr0upMB9soxpqfSIgcWHJYHFqsOnZK9PE+1Jmb5hYdWVVO0oEtYOC8p
C0vD6lecsRuV1ocS+FarKVw+dXIMh4KTCEKXq1ldALugdtXZcdEcL5GrY5lpspdmfOEet454PtNN
qAlglWaB5UaL50rzweIJ7bQmhv1nbmNALgEI9X9VZY8Dfj75z5BU+uf+VJQhOqPe8RjSYJbhf/0x
uzH+5iEzRJFmaRmrrrx+L8oCDWrR8xTLC/kjupT6vSjz/+bxH3jzEz3wG8jq35jdeO5fizIKGvYG
TCs9E3IvdsN/nCWao9tKRKvylpsalB+sjpE3I8ObzYI4eze6HudCVNw4NUtckqIPBi7dFL1VMogj
OZqbUFl3JbukwTZPOA/e84FXQ1es6VBvpsW8jkPnsCTYsnJRzevEj9+6ubgbIeBvyUZ5Z3LFm0Cr
laJiqNcL9cKVnFk/FXnSUfn15UtlJ8jNquC6tOUF30SxCjE9oDQBgxXmHx4tlB2Zl2SqbjncSW8O
s1dl0slVpXcbuM2wsYYciJyp0tvBq35SGZHnMSVwCBLfW6cjCm93BuHQ+0c7ko/2PH3NznLDm+yj
iNACzSMZW0W8r7yB9ABGrNXo3bqVfyqwbbP7dp9sITZL1f9Qibfr9CiCVpdXfhhcEL1jXqxuM5Wf
UXHvamFG+BtVioYJlKXZipeQNhNOCc59N7tOWrZdSz1f2WHeH0tdA8t8MXcJ8MYdWcA/Jl9e0JOh
LQqqc93cAQDbyTzdzr55y9ZjN9jTPWjh1ZRlqP8IDLVNur1CvGKIZgXOyGwAORiOiETsQn6k8/BU
C8PeyIXoaIh953nkq2tyok+nCHxX7snnxsEG34H374mZY4Lgj2dMK7tIRYhfXRCj8zA+JIAK+Od0
x9Sj2PRN+Tzwa0QN7vY8FaAwFSVoyvuxDcx1ZcxXzch1yDIKfJauBaTCwECnYd+nQXWlVPQTDQ0O
ds97dCrvXoCpXoveuw4l9K/B9RPGL2Cd0za5F250pB11rqnUWIA02SNWfSYT7EMieSeT/CdS9+c4
xLbNmJRMKz7UoY5Moi1FRG5BNcVr3wIi5PTTChcjdpE0Zxk9bBaSIeCu7g2WorkFwKEcpnlrdcNX
4JIE53jkcBt+/VpVchuatcas8W3r+J51XC1qVU5mt7I7nAnYZQAnYpjn/A7rm2Vun5oFzlE9kABu
ZAzvU8iKrJADpBclJIK2ujKqqbg2JWCMoHtNPf8a5tJ9OVZQqtOQrZW5LHswrDDUIhQG4VxyZ9rW
j7psHoKRC+8yCZ3d5WwM0c9oFEz4Rvc+rAOIH9FB8drEjxsdfQZFK5ebnhiKYDctQbFuTXgA+JAo
+xhzaMbZSPDZ/B5jK1kjT8Jnwze6Ijvo1I+QEHJva85MKsxCpreEqu3TxZJbvCgiW5kJ76wxXt4F
od/96D3G0/iYFyaujOCSW1YOBGRx1soibpXYjOc5IBegL/xtsvS7ZB69U5o2iqFj73LZUZiVAhp0
JOcTo60tAkD8xQGpZZZwvqypuylQgaBwKLdpAKWVUec7RcVhrnt3zaIU/qafwm9VMAvmlrAjq1EP
0lcVTWJv7iMrDnGrePw+I4WUGrgD+e/fVjGR2ASZbZU74CiCQtw3g/HVSW4Jx5PpqfL9p7ptzl3B
bBaZ/VddG7e+ULsum7wVlb6j8WrWzjOzHTVpex2Zxn4qHa423/hVw95oxcB8XNOivjmyqHaV4Axm
ZsxUcGwdNlXxIXK8CTPo/N54abUPORqdHHqUPZDvmzg3JCTddgUcDHYIwWZOAQNmkrhhp7o0nbHP
WucRac7OrswHhBIWzSnCKKPy3+O4PhGIdLL4cJQfaFRdY3hCy2auoyxtYAETgNS63NQkxL6N3vLW
9s190jnkCRaCSFuTcHIOuJXTDw81cYqblqDwwRbVJrDBIihfx63I9gMPMEdFDUsivOWg28cNck3L
6R7nSD3nVv/SNhoBnA8vEGiNg2kpc2MYFnHFXTZu0iBxESCjh6ziZl4Vpo2ULHsoPRtWy1ABw2WK
m08GruyMkBt8NkGYw6+p8Wm31vPo3amOAferSq+cxL4rMxIaXe8Z5OtTaksuDawrr6zOVl0BRSzM
Dr2u92Vy0GNWCi9I8ni0ydA9CHdmXuAt6bbwUzSLDgrvUF13dXE/YhPzp4LjN523y2w+lK53lVRM
+tJ4ePF1UKPR9KemP49aJucOKM/8+OLMLG9Jqk7RhLcoW9r0BSP8ntlddo3qjtmGaG/C2Re7cR7y
HRAxcMwIG1ZdTdfnRjr8JD4x2ycP4heKz/yF5ZsH24JoU30RupHcqLInRSzmxPZfMk30a/uU5rpv
FurWX8S/juvsz+DJ44DczTSi+za7U9Qv4S3y8+rWWAT4iK53jqOfnItfaMHBmef9onMhkxq8PC+P
bBeS8ykJj7Rq2FyESXqESubIDJivC3JNW8d+RoLMCaFTKJ1OHBJiKR2n05xb48ue4VHMwJxnEMb0
rofZEBtJtKWVG3x0fsfONqtNPhWfEzasFfCjvWVkFhhWOD1l7L0mEwJcmGLZVjXJtjG7CgnksvNG
oUWt3lXMl11/YJY2neg+J45TCGWd09a/tespIo5EYnYrjCe+ft7ixHnWU3bCYox+vJnoX719FnSs
9W2/3JWTgZa6xWmYopvDpaZeSyAjwDweXGfeeIX7JMPmMhMCt/KW/KhIGW3T4jLq2NGumjAj1o9+
5XxyuF7QxJZ4GLkFUq+5N0W744Az2aC1vLLN7kzuAVq5xTyUXm+tQrJP/ZBwhJyxBQrXfN62Ezhv
zn3NPSA2tfW6rdRBqrVHgGVaWe9LZwHaxcjnpxmHMzYFitxXdkvXk1/460qKLXajtauCN14tu1FZ
920zXvHkHnBPANwl47UGlb3O0uKGvdljQAosGwlo1dWLW5uvSsfEuuTFdtaEhRK5PEk3ArAys7GQ
dFk5k1JgiuK44IJ32pspjne1svIN+dYMtWve0cJ7GurxZsEqSOLJR+G4pwYrJJd9vh4Rjh1mHXJb
Tt6NNAMMiJKDkBxcw029TUMybl5Z14qk3KElMjdGT7n2Fu8lU1IS/Gosm1hH7ApEdZtRx+6OQwiJ
im0+fgZAgGCsEDkt7aHTgb2tkX34zL/WAVm+ft3Z+7DFZx6HXXctGzJ8mSlcFejROZSifV5EYh9K
hePMinoeLhf5pvNI/3ryUl/uvaQ6srWxa7wWduatlpEG8D/t2P9a0GmQ/vWQfAe3p/xnE3J+6o9m
DJ6vxxw6YEbuk4TG8PxPzRiWHToxwzP4E6zE/2jGfBbpLl4j85fF/Nfw/PdmzCVnEquP7/oWpu5/
k5pJ3/ePE/LQ8hAmIU9C+YY65R8UNrkEzDX1kX+GLnGK+2Ysb3plzWxb5VjXGgQ5LPtAYePA5xBP
z0ghUeZWIds/pnTJ22R3DzJp5k3SIUJW/bBvKAHxinIuGaW1qcyCrijMPmh+aQ5Kl7ZBdA0eBfdM
F9vj5RVvlZL3oOZe1FCZ+V0P6+0BDNghVBOs3gjiEIOV2EjFOY/Yma2asQFrJuI3SqzkEkVJ6l2S
YvYvbNQwBDsQSOyVRxh1teE9ZZSPni/QDzE2UttuMqP+thEsup8H5qIjVHv1klt4j2g8qkOaZNnM
RLS9UZlzUoN7z9Z2hpVUPhtL8Tg40KKqpP60dLq1lwwfsidUs+Xcd0z7Iykz1orCOXuDRWD19Iy5
yF3bzOcFRauQTGRiHerscMRuAhS0SB559E0neSFDOMDLnBOz6z6QDXNLngfwFpH+JDPwUQ7Ol+Fk
6baTfClu0N/5ds4oklBlymoFCyqu8x+zHTO2VOnBWPARN9oOLovgsSlMa1eVvLdKuyekJLMOCajj
kipvI1V6tBMKYVfC8ytbf4Fcn5dbnDcFc5z5xD7zLrIGFpI2epzSsQ5VjhkaBTi9zDxZx3k0MbIP
xk8DuGUA43QtIjciMLmjUwjf46S6Qq941dlwZZAuiJW9hA9+BDwrTLrdFImfbrjsCmMCzVmf4xa+
GtzATd1SFMiS7qqL6u++Yj/tpRR8xLh8qiScNuNcvnJL9ysrHP2Dpzcx3F53jskutadR7d1MMMaP
LkWI1T+GUx8nJt0PKumBAefKmFp3DQkQuxEz0MStXofMoimK+1PPFey7YUceXbqfXA5sz2iq7VI6
RznOt1Pjvphdfw779DHrq3ydGt2zjJP7xEnSTW0MezP2xJEZGlDXpL2f/egR8Nnd0gw8ImZab4ga
pYtPUwTCbXQZouUwc4wf7Ul8to1IILPW+X52mRkuZlis1UCka+x2+8A3nI3pzMupwn2TzRWygYD2
sh5Key3HogfUp67JHP9JLOopRaYHyii98bKa3DrDvyJI1NwbYUGyHXAjkwdg45jZO6WE2s1hfxu2
zusoEkxN3FmrbJYe5hv7W84Yl/K6uh+Wet0PPlAfkvp8f8IHVlag5PLxyVJLeRAOd2ekJ+xdkX4V
s7Uwq/RfXeU+WPjsj2OVQ0ZorSNbOxuTS3CdjMIC9QjIwGDFvlNNdpvGHjTx/F4W9PwJ97ZKaGRV
lm9TGV6QMTc7r2C9o2oFPQGLxaopvUdl6sa4Nb4jy/lh2MUn47Zjo2zGrjF9XCSsL8q+506vr6WU
z1L11tYKh4d5pgtLPflWzc4VqvgZMTjQm845+Xjb7uwsqH3oSsZMI9B82IrcWcvFVKBDOQa3ufHE
1G+XnEnDuHy0tvXWIGY8hIaWrYT+ZRlGNNh9Qvh4C/gQR0DJ/Gb+hOvfHQ2/J8yox9VUGwVFZzWv
Bh8JNEjLH9RPD73sCZ1NcFuYQ0Q63gDmAIlyScyDcR4HwgAgD3yNyxxuqPpvsswaN2NU+Qf4wnRx
AnNIODSgiwwWaPANP8E/yLWJ1e1g4M44p5OLxaNrJrAcFqRgq7lXJfPkOfD7rbmgckjLieuUkmRh
z5vUzebNnCX1Df3rcZbRD1lO00bijNpaPjTFCUnRum6zT88vWYppq4NbRrvYseeDV7bNsaqdXU5F
uWEMVuwCFIUrzsNlT2f0ow3wLbUCNl20r9ig3OF78XDApCHpCYoeq5fhbhIl8wxSae680qp3fmMe
m9i+zvw03vUyC/asLUlbgbW6jsZ5PgFi/pkTMrJL6t4+WZRAiPgJVM+nuDwkZbk8LUpybdQsdq4e
NQl2LavYAivs9uPRlkh0TDOAk+SOV3ERnqJwuRLpIrWuvt1F+GpbGW2AoT4Ewveul47FWzJQCLOO
udRD8lhawDGYpxU7gkzS1ZCIdp3Z/afXSPCZcLH3UwBkZTbjfk24BuFVRXLpU5gwEQFeeZWO+7pe
ruCdXRPPsoHZdBlbKEJ21hiUfGw/EVacQzf7DEr5UXQR+2E/ZGvIlJJsG5csjGDeRl4MGmFhfGUY
6hnO+3uVi0vRpg94Gaq1gS4Msb3pITqqvwpwUrE0nF1vO8DQUoe/ErLmRhXGW52yDBuH9ByFeIBB
fY4b1WAErqL8qgyAq2VTFj83CVoWFb157LZWFo+uX8hvUKRvri2A8Pfn+hexAzVP5Frh1gwRGYWy
eGbmCo8mhcdhCXG3GLWxEUV6g2sMf2yVXxUtlYjDO9UVIweYaaKN6g7+EF0H0Sz3iJNOUMDCTZNT
/7vli5zb81TSf3izlGS/4OqN2lPTmVduIX+KOvhWE9s8j4V22QgazewLQM2uG6p+3/n1tqv5v6oS
z/hor5f4SmZ0OIN/RBdDZlv2kXQcvqMgF631j8Bk9V0TxHTE7WnpMBv6OZdHsjjN2MRPC/dzGlls
KS3ny2aMugLV85BmMX+YAxxK+HXaFhpeDTXa5LHbU7n9oAI7phMR3VQ6K7v3TotbyfVQp7dewygx
VC+mzV9eT9VKRRg2EBHsbdl/Ir16iZmDkEnXnA1muLqIMW1eeGEZ73HKyM0c2GfoJ0+tUjRsHQh+
UTeXGhA5Sd2QfugIB8E4zs9cE3KN3EOkZE2oPUimYihi18GqIyhhB0aXVfwChMZu2RCPDR8tKOHh
6RlkUKRbUdq6emiPvp2c1Jx9J6ab7mIV3M4oIatl34UEIgX7di435nQdiPwxKUawRI4j1+hJ91k2
MkRjnkXq94cdKNyk8QcptteOhbReREbCxWreyelhEmKpzOVFPLZXPD54BlE5sE57Nmt/NWEIDjqC
Tg92XBws2L1jn2+iwK7vSq/V0zrY52qbknArXpKxqow18Uhde4JLoyQyBDUGI57wUcx3M1enpAcU
GwfON+ZnsOgbJkCnSjF0nnLB0yba/RJiM20rsRM+ebJlzowuhbHuyHzYRGP1Ch2T7LdgbFjHxuYW
eeWT3ZYPtO3A9mzoqVn7wgzQXSHc45NimQ7d8Jj4zjuRfZdJm6oRbeVwxjFaU3d161ybr12FDVuw
p+Z1wrIjN3ixddquPVr62lGbD+G8isPkumkJsSjweE+9fx7xfId4v2nUw1WJG9wM500XOtemtonX
Vf3BuwViMw7yHCd5py3lPZPJRZvMF203n8fg4OA/b7QRPUzAztFKrKhrFIGr5c9WyYOt7euAi5dd
g6PdaYp7Kx+3pba64/BXB87d61BhE8UivIYb1x2GkSdaW+W7X6Z5bZ/v8NG32lAPN3lfa4t9aOY/
8gb5ZnKb1yh73XmlJvvoth1pPcF4Fh12wJJVknSzn7CnUX2a81ph7q9i4+wSeVFg+nesWw/lhFia
TauBACNkgBz6QQ8poPf7J7zVoGxgCATtfvL8B8g9a+re8wxpIK0xjmn0gA2DYNEwggwqAb/gU6I3
rT614DbR6AJOhR+OhhnIhQlzBd9g0qAD5mEgD+RyozQEoYGGUI8GbJ38TqnyPde4hLHruRPCtwKO
Qqp5Chqs8J/96q/9qvl/7levvtp/kmCqf+aPdp5dqMm6xIXWjlssxE3yp3YeyxJQVPpytps+nfbv
u1VwH2FgYgAxfqX9aG7Q7+28AwmEKYCBswK3kybN/Ru71V/WiL+bgDQIxAsQ+5KH6iG1Z+j+V72b
b9axYbLFOPudj8QIaQpimMQqNuhNQ/S0wXsXxWrXaEo3097MESfZBQPlo59a2VtqUWbeJlE1NEci
K2sJxyhTxhapzOCTsNa26lKq+lzbefrIewG1QWIvPnqHpbsLoIb9sAvMlXOJQhsKiWVu41BVoCDL
qkg3lrPAvEYZFzMym9rh6ERConwxe7/o3mSCqIQUPGQVvGLswevSbmeVU2qepMRE9RAvpDnsU4is
1raH4bUP7ZiAU5932TT23ob4vQzz7dwwgY1MNLGeuVVTs+zZFbXPy0hSzyHHvLZs7Q6SyGa2wmXa
FgMvOWJCIsER7NSCmrxevJth7hKoI1blPbAObHVCYc1Lj4TYvVknef+Q2wX6Liizxe1keYm1b3z+
fY5JT1uUE7ISRvvCjm1KKv9IA24b2/88or89oty0/3rmBuQWxvvPnkcSvXk/H3/+9//7bVZn8nO/
P6YWsTNM1TSF+Dc1w58eU2JsAE6RvGXYGirMQO5/H1PQjjpvE6ixDfMq+LMEgiwIA2UEJq4/ZnX/
xmP6VwEEYlSWg4gp9IkAfxKC8l+f0n6A0+1XrroMximGLDLfV93+T1/KPzNR/kJH/v0o4FOgvWUa
AH3ItXT4F4fYn/2ADPLtLMu7+mIrAIsdUvQOpFpiW6V9SQwG7BoAOOV3S5V6wRmChf/axr6V3wWG
i2jCkJN1sgiB6UhUaZKJgXuB1TjdLqlJk7rY63kuLpEr2CGJ49yFAMirh95g2TMn5nZp/Psp7Q7R
THpYIqddmfbmxnWak6jVrQjyj2LO3wURAUNdH0GlvyK/pMRME6g63TawCrzPHS6zqf2m3t7XRao2
ReP4HADOsBbA3VhlqUMzUvcMPnaS4NDYHWDx8jX2jKMRYuCxzfpE/NdX0eGAiYBSIJX8imqSRANZ
kw5qTAQbdO0Owu41o3Od/qP1WmwGUMoZH1NXnmxHSAYu5eNoxqfIsp7aCWMEeJCXXM4dxjT12XnO
aXbactdk9U2ZTGoTNr69cdPIXUdV+9Cm7K19p+q38WzfyBglcd/Zd4WCMryMw6vI7N2ifKyNlk+g
gNV/Zz7BaUFqVSu/qS5l5Vz5qnUQqQGNKPImO3gG2RH0szFO+4G1c22xCB8DtqH18mLibrK5nKtq
EPeuYssrreJRSZKEwiB/A33Bol3Vx5Bl1bnolblGpXrqBDtqw8SWYAbxddx/2khxwoF+RSpr7UwN
XUNRvkQL8RtREzAEicEaBEO76Ud/v/juZ52iTVQzIAjf+Qw6mWyCLP0OJCVd7AAWavrwEQnyt5Oq
tdGkX2TsKEYR2SGxCBA1p2BdxfIyWt2HmWWENTmMKmGBHos0Z0o19rs00PplG3eU0/Vq64BUYesz
XNDdPY3xQFZB0QPuTVo9T32Ip77ZVMBM1mWEupJ313YkWHrRocdhkD1Y+JtQLFKmh+NLblBFprP3
nSF3cc0cEB3qgB2ZSdFKREl+U8IbWsdZWq85V57iuXkoHbcmR9S+jQvfJ3goUdysIIggTyBhaIYt
kBcaJ395y70IQCWJAWNWfjmm8nZjazzlcUHtjIdkEkGK8rJnpiK+exG8EXWB5C5P1r5tMimfIrSg
xDx4Fe89e86P9S+0IQu6JmIRzhgVRmrz6MZqAU6Sc5eHRf6U46E8usuUXTxbPTaNRbRz/SXRn6d5
XeCaqH+afcOolMEJCkYmPLmCWt6m2Yvj9OQMRACivGesQNN+RmdzLUnOSoW4b4cs1AHeRUOYgQQB
PqrgSvggMtqwxgJcuO6KMcM6xtg2VfYNkgm59hnrCNIk4G0YKzupz13lvyaB+5UaU7PiWGuY1Jo7
WdRExSBECpx3Af0C/NRJusNbPDjkLSz2fVua26w27ysW8coU96Q+bDwRP1u599bh9KtM4ypULLf9
4DKzf166fofIaE1Y5k8aiII+iZSurs+3hBms8wbeT9eSM8rkqa3Hs6+hOg1qLxv1OZN7xeaCmiRj
dxcJcTv37bNk57mNrO6rIwLVaqYX0X25A3fi6PmoeUhRWUcwq5GDRwrnWDbMQmyNcfaf/Xic9k3T
WussZnXtBnVfn3PbfpWVIx6mhRzRsYwNdC6cW2CnnHpmb77Y+36u2nXA3h+dvXzOm27X9upVqeK5
a8QbOnP7zhjc5cILr9m1RfPeWOYxae2fUxTc6k17WISxztFgN8gcapM2Y7AWGSlgEizDoyOD+SaW
yUMaxx9MwMVaAVK7amleIN73EC1LZp9On7yVFldRJY9pWiHCs8VpGLvXAXcboy/UDJGmlNb8fuRz
8O5ZhzlnABmO3qYbanAZrEAfQaowQZxDtY1b8ld5yruXKOyGjdP76J5KQC1N0aNyGsfDaPYKeQyp
Rbas5r0qjQQSBVj9/2HvzJYaSdJu+yrnBSLNw2O+1SxAAjHDTRiQZMzzHE//Lycru8jsqmrLc119
UdZmQEogyf0b9l4bvxmDijSydkPq6bsm6a+spL1uTMQStr6Ne5Pcd80n/Je9xmzrt0jwH2t9vAms
2t5DEH5EO4F9LJj94z9fuxQPn/wmH5cu4FaSVinDMfyLX252Gz2hdGXVXRXYtWz9MnZvbZ412pZF
/L/Ilj9XEeqx2AuCktAV8I+FoDK2f7JkNyzyWzk0w5Xrr/3kvpo2oXb/z7/O/3oI9fVPD0FqQpoO
XTpclXwwSaEGmfRsljf/Hw+CtFQAUKTGUsLTzw/ShEkyxvkwXBn1bVVcjBrZuPt/foj/fln4U316
iF+QBS1TxUA3x+HKdG+yajNnZDkMl7nzEk//45GUoejnquvnR1LP5NNfDCmWldktv0yF/kbPWZ/I
sw6jcb/us7M5+yOw8m9ZFuqJ//pwmDkt0xCY89gy//xwbRCPcw1rjsiWRx0loYPWLTyfssePv9+/
JjiLJv3ve43bLn2p3/+701A/9aPT0J0vFPL89SHyMhYwAKv/GAioaGBW/i7DOASIP4mt7S+40RyH
tT9iaJez4s+BALMCBgKW42KRQ6lt/lb+r3RVx//nOwSCveB9D/jd4r+664lfPl2BX2GTz4ruOKMw
RSLWPUONA+CUtERc9elqqtMHNP7Rcir8Q1TDTbT0oVnWeX+VNcWeRYK2aIg7R75brSgSCbyND4y1
uBpldCNE8hUseLLUih5NrTZw+w0S8iFVvy/sYJk1gMZG8TDM9rNszEdkWhMTCc8E58Gh6EFgh+Kk
rdH4hOQZaQR6s+iN4E1Zbv5cTsVdH2JXKFrkP75t39cVCuUxf2g97cHPp3M4eJeGER36JLxoi+i5
KVw2SqzdasN649pz1xm/GBiJyN5KCVRRL56QA01rMwbJVbTgqqt02LnecDfJsl4H7bAxzRl+YGwM
KAkwXKBV/Qpwzlq5qX3RtJTSOdxUN7DWVuJes536WjXeVWSxh5QVhFIRQMv3sd66Zf/IKv0NU8+T
X8nLpsjfTNP2iMSrqbkQZ+4apvJB6aE6oEGLg+dUtv26TN1yhR8uXQxl8Tbo3iHRIBqyykCTKo15
NZkswrjF6yXXwkXbJGeV6V/kKLAwWdcb4NgbUQ9ngeftAmldT3P/LTLjdyerb40o2PrG/JgFbLCE
w5PkRfJEbS2GgcUomjbgdGNln+y+ObBl/5ZCe4G9LbaF8MWyq2FuZ0I+mIF1bbYANklPvjUD+a2T
dr+fIvXjVtdtTKN7zEhWa9BKsK6zN13bUS92bby17fSpMONkI8vuKEOLBW1Czgs0OmshTE0p1jaC
acuC0IQtCSv4/JKyX3QlrxpZdqDdMep/6DCUS82OmmbrN+V55BP8NxMpgz2TiZM1zNcOJukhtzZd
ZYIRndFdBwlIB9GO7CTQd67Sjnec5Qza0p15E08Nr2EmywCn9XzDiIlHzd1N4PcbX3Q3s2ucoUDA
wC5TKA4VyYHY0FArdMlbW4yPLj0uJ3D5KnTmw3nhL+thHBeDiHZ2RVlVaOFO5Fq80hxI7kIUWwAE
W11E3bIRmrdrsWcvjN59z+Lqwh2Lno0MyLTaa/d2AH1OskleB9l4V1QWvSi7RN6NiFCM9rVRejKh
1nfmXM5X2WjLcxPBx4pcbNDd6Ye8hbzbB2Qbdb+uP+Qv/BmQwshWEfrsCJaA/SGWIcYL4YzZloho
vDpFUKPTxF3RBiGzmaoovDKqMXgif27dpLyFFmZo+seS2g8CZKfYlgthBbvQ8YKbsBIaMbLWeBKp
dgZmITLW6PMwICJNmFejazfVvnOEj/w/GlukkmzusxWZ00tcGSc4U2O1FbEhH5MBpNUhzcuOcyYN
9RWD9zcRdJBdE3vCP8XuS/VJfmKSdwTT0wluxcdgUcLB81fMKVlwVyKz/WeCc9EuC4mGiPi9EXXw
v9flx2jOYIj099flzUv+/xbvvMn/QhKnfvLHlSnFF6U4o2qVHv+s8v/8uDKl/sUmBkVyNX7cmdS0
P2booLS5KP/QvP0E07a/IBQDncQAHU2Hbv2WZ9xwfi4W1Qydm5xBvSW5f6WlBoSfSzhmw5bVJ652
dKwsxpex7yMchnlqI59SaOAEPIemYMEx1GCy02j9FEh4gCg8KLRwCmN4VrDhUmGH8RqhBFYo4kpB
iTmtXgcoxQW04lJUB+TS+1lhjEmPrNdmMSz80rgLIB1nCnkctOn1iBQLNqTxZkNFBvHVLH1DnDwB
MHlwfYuldv0gRufbqNaF8VBCfmEcpmcM4ZK5WnSaMxOAUj2aHWmwkV6uMrWAjIMSXCw7yRzfzYJp
Ifnv9MfwOFkSdtlZ+LHLtNRacwbjqa2Ynz2XH1vP+GMDmn5fhxZNW9x2VSxKhAu6CXES/kVRDN6m
1Bmb982ENER0DlhEY91bOUBlLb7q4onsgpwIkwLvRyfir63jvPuMM4FrA5Ix2mOKpIgpAb7swVsO
Hqp1Vpk3zqhjGcrkcwyYldENlEqQl/2yKfpz22+as0rkr9C24xrfcliINe5kYrrtzJSnKiHmBsqG
tRqm5FaEqFucblo0YyJWozAfcxgBJH9i6cJYesEaeFpqjrfOHe/SCEqcZ8Wx0RG1AX9OPedstPxH
xxOqVzemfYEGvctNsUdawcST3xuABm2+b8NUFCnzUp7Pgxsw0egjAJ0lf76FqzOFAPadXcK8uk1d
gLJZSZ/PUPfc/KDNtgPg2eSDQVt/8Gj1wcXSOp1EMycLwfGJTQwrdl2KmwD/r18Btp1r47KCdKvB
4mW9erJiZw/sfZv03Q4nSLPqYeS2bnbJ6GsrR4maG4quiRylGUCIxxarmSx+sMDtOkW4HQb3PlMc
Xq9udiNg3hJAbw2otwbYy1h3x+yOfahi+doVNIAZvO+I2WsjdNb1ozNdYHEQQAmQgnBev8dMYvua
56ZNFFGGYgfbQITH2dkaQIU5lteMHEj36tLDDHY4s+APT4pEbGjmDZlsr7mGxry5rTtdJybPOwUg
jMsGBHk5nwGQvxdePKxiYMcEsO+iCRl8YRiHqEmeM8VFRqezKRUp2QCZDFEnQhwORbkCp+z52KpF
NgAOn48s8S9D4T5IAMxFozFdGpEoWK9GKQDOK1RzECqf+UNVD8qGdZ8qprOQBMMpynME0NkH+xxn
+bFDfrAIFRBakaEN8l09xYo2gEanKd8GRBrtbItlP9sDVrkgzfic75yBwBrGGcuCFsuRwlEDzJzQ
litIdSgUsFqzg6cYhHVu4cqqFdRaa3YQu58aYNeD15M6w1Mw3GfsxAdkpNQhFJOG3i1bcNl1UD5O
ip8tM0pXFAcXruyuXb1KmchC265r4zHq6v3Q1Khw4XEXrokkLtgTeXCSithNdXmwFMN7BObt57W7
9+pyF4L5jtzkIZbJRSCaOycvxQISxHULGJxUqEMIKDwRHWN0kwk5r0UGSpy69tJAehuBGB8VazyY
dCYn4MdTWYG0kde8Sc4KxScnaPGy8cUGVwhVWtc/ZmRLzYpp3gM3L4Cca55+rhlQz6tB25tg0AU4
9BYNWgYefaCe9+bkAhP1tk3nU9tDZHWyCgZOjZSGt6xLDlQGct0HvY6k9tKsrH0Lkr0xGfuCaNeN
8L5vohsLdLulGO6W7eNdhdkK3D0B8q4r2vvMMJ5S7WICA58rHnwDGD5EyBQBih8BxnspRCQ5ZQu9
qMQyxshm9tEmL8tLdBDnkeN++7c2+b42/MdWfp9Pf1GV6J8beYvSg20hjTmQ+Z+E+rrL/h7TF+5o
44+l/4+qxGFlaHrSsR0mAJ5rUrD82OyrRp7lGx4jzgSqkt8KioOZ/BeNvKGeAz2+Adnrl7LECFNY
w73THrPEDjeFWqiPRcZi5TTJfkYbFXmhP9trM+xFiAW/T4a1pbfs4DFoTkR2mNjz0vPKjaoJazD2
A4uIh8Gi9dNHuyJe2EpDY0tQG5aAhWmmEemHmh/3cqX5XpE/z7XdmVdO13l1vnIIVTbPYYwNzcjp
WcXNizO39TyDWvCdBs3UWPdew1YqrLdxU3oHWgG42GNNpT8M5l1VEDrq0l5XXZFY8Oli9mzV0J9H
E6Jm1PX50cGVd03g5PAqcssqIc6EwWtv1uMmhfB8EdlJwV6n8I+xZpkb6CMhKnC8qwt3MKYTd4+/
R8c3HJKcPlcHtrCqUZIXAx6BxShl/ULmcbNMWwRkyxAZ4j7E0XsLYQ7BWZhbb+6cets+TAfWYcTc
4encppppXLuzAFWtpPZpJ0YTISipxlbbot+2xXSsAfNsEoL9Nmapo3tqGog07CIJrZ37dldhB8IF
VZJr53mhfDZUwxbOc4wbU3byNWFhAkuddIgpiZtHw2oIYpESOWjJFH92s+6yo+HkT5rvKzAAN3oT
iXQZk2d4YF7h0c8W4XFSjXAwWdHRUg2yR8j4Op499zhXjM2zKmc8PxFIGxrB9EbhmF5AqGjuOyZF
m8aLAZBrkeQw1FO07yEQsMnDeK2ryQDbMY3pg9VcGZFRrpB+FeeoR/vzhkEEIsyZG0dzN5U1jd8G
M0x3bpkFZ2MRUdxRiWgHGGWC4MGG/L5iQoretp19UU1uvi0D5Okm1qfFaNWMM2fp+Wdprdn37Pge
QB/JC6m55SVP399oXB2HppDqUK/F5TSHZLURZLoPIoSHBUAddk/ldB2qoVbfDNV6ijowYf3sb5oP
Fcq/J+v3ro+j5p+7vrPipeqiv5BOqVPqU9vHOEqn4ZEfac586VPbZ7k2cgUsT47JyPLPtg/7FE8C
pz2gT5J4VbP444Dl7HX1P/4xICm/laGEF+uX89VyhSJOk+DEMJ3Zqzp/P03uEYxn42hO9eWk9TZF
vex0PA45vKa93YX5ZWTahyjEg2pbYOxm2zpVEzyjORDXhm9eJ3X3XogSROgYEpHSn+NZADbWXeA3
X2o9oQq5fuHm+mqWKgbZHF+n0rggFJFlY5cdpQnbIHAumlDbFJN2suPwzpnyB2tEFO5X767pLmrd
xZOd7xOMx6Gm0dWESBvd8J6JLgnt4jQl6bFDown/8ciUhQ7LHilk5q1V61gigzsLAYHGb7RO6+HV
i9qD74H3q41npLDbvm3Pct9G8+2d92Z19MPw6GEW9bDKB6xsO6ifRlEdqNwfHNPahTp40mlaaAmo
CT0+Fpq+xte4qgjyDEX/5EXNVRh2BzIfl33h8rmGKZjax1oSlOd9a0iXURZuzl4CAjmaXnyCoiPb
fEDpu9cab9VbzXUYzFstjokz5hwq65upAQzlj9FlYGFyQLKhx/ad1WS7eWquM7d9zSVJoG5+DP3q
ordZKaqQ03racaIyWy6/ocA9WjqJL763NwLz2gmR+7tauWudPF+YKddFR1SGPlFv+smLUZjgC1jj
RMwU08657LT2AnfAag76fU0UZeNo17E37nXh35vZROturO080hdYhxhG0eqEvqiWqrSM3FSplrHz
plPnr9DdvDg9nX5ZjVuXJLxlMJb0GmW4wOP1ip8DklVdE4CzbliYMtpq3DrexV4e7tuirokRnecR
ZTnRIca2r3PonPBGVv3Y7LGxMLGtuhQIRHmdFG15hriZNrki+EJHjXYgBAGrCNrrRTpGBb04eSEM
huNrqcttIhEM0XDtYmJZud88d82vNC+xMsxLQLWM4EqnWreuiBHfDOYO6a+1auzpJjKnatV6MOp8
w07YvbdY70v27EPQ3Ll1K9aJTc8dp/IELAF4dPxtIDWaRYC81aT/VmDGR/5wOcMQM+vkWDXJsEoG
utPUf49m8+DCgNRoz+JD3TEr53u7ZVXCETHsAH9QcZJFdj90LUplpZP1GRrBXCHfLC7N14DEroWo
yQAvGxgt0FZwYKO+dcb4q6cR+9Cb2GP6PqxWiXTfmcw/55O8Q7r5zvMPF20hGnRPRroyStqlMOP+
gxSMdD4hEKZH+lum9Qrd/mUfZmduNtyb4/SN+Sb0TffMJOoT/wq26SC8B1exxvBQHeEQVBusW7Rg
nWYfitSHqh8iJvcShQLrDWbdrLEHPX8c4pm/coVvoQB8J8ZBpbsE+SZOxr2vpdsYfh5qkP4JkQvF
STte4vl6DfvxdTR7SLMjLjKGTYiv6X4cbuaAFG+WFoQclUB0K0Nu/UI+tmTYcPUysmmsPQyBBlxa
9DgFBv+4Zr5FfpWtbBSOXte+agiAGmlPy9EXRMj5D5RF/XKi8ptlJ5YmmD9YEQiIWuzkc13ehkw7
ViKepjUhY9Rhvv9oqE2QX/oO7y9jg3MDHTeIH5RmybQsCj6WNTUbTw8jmpDjtvdhynYMGoBOoTjK
qj1xRTbPrT8rIf6NGTP+ae4QeSESCcUxbPv7XIizdnAhx2mwHyMNKAK120USipshaM+tPLwFJyKQ
6BCfVRNJ65qYy+xRu8BEpwO5Su4gLJNNw3xmlTooxm7CkKDiemiCkO2XAo7AYENW0Yd7E1Au5gVz
kQtQzaSrkS6bY9TPm6wANC3PmmQ6lWhxFo4+pqeogCL3by3yvcujwfr7WuQ8yoPmv/e1Oj/0owph
KYuK00KoTenwXwJugzwLm8E0GymlQ/jR5dlUGvzPoaGjTPkcB26oLo82zwG1ZTlAt36ry3OUPuTz
thZaKhBNwsAFlQhNqCpSPhUhum+wkSwd6xjOmlHfsbZJM/wPU6avwlDj3HXjRkaHxk3IPPq+HGFN
IjQiHz4WJ/XHEqX9WKhMH8uVrKhZGH5fuVgNauum8c8GI2UHXKTFnJwKfNcl/mv4gM9Qm1tUZ8YR
ym61MpVZe3a4YoCmvBZOaC+ksnRzH4QLABnLEbc3OstkmUmibgac4KHuP9KY4A0vRIztLf3wjBOw
hX1cGclBf2EjXTFcHu1l0TEVOZjaZO8mKJSRSoyUKjsSlE608FWepIzn50AlTLZ25i/1Mt80I/LB
ghjKKtZ2YHrgNhNQKVRSZaoyKzEp3UWEWMoDgQWHgoN/pBZEu8jO1k/9W53wy4y5sDf123g+6URj
Dn3zYBOVaWJQ9A7/fhC/fxCRovz9B/HipWne/6If0PmpT59EteMBG2xIcK1Ku/KpH0BPAU/Y8WyD
Txdjmj812iQSKKKCQMX9fXn0ox/wvtBA2PyLCK++iyp+Q6Ot1ka/fBYtnSdG1LEUpjBN7xdtDaXs
qPEZGy4n3tmwoXofegnOyom+Ogpxafnn7ZwExnqi3E+wVOqaWLFYitp9OUdiMUItSi6+l27xKNsZ
qG2ZF9BdcsO23kZ7QO6blrU/r9uAEShm/no32nrgffMEIZTUug3i5DZyTH/lT/PsQZApBrteMJbB
rVDZgZyh9yYD9sK5QN+0cLpg1NeZDOp5baoV0EL52lZtl+jbTiSgTKl2TOsu1YH1bgB07nF8sK/J
cc/vSq2fdqMxdZRkhjtugphBxzoIYtRSAJMFM90xOINelr5Gfm6vPOLOtcVUTv1aSxnr9OxOcDaT
Dy8yIFx81K1XSngguXOGiFFM5B1ZVWBurSn8Zg+auchy9xtBCSbZfUG2dkq+Roy3yhHrMFY5xXAe
BtgmXcVkD6IMQF8LvId5AB94x0kWUm8TCAYSm2At8GB2FqsefYrEzq1NYgx8HFM6e2YkBUVwVtZa
CvWIQovVlUfFnb8nzmxtjdRgHRP25rYpWjLlGoDNSeAAdLC69IoZNaWHh/G/7CVRf9WwdjVwhYFr
vIeNVuw40Xhb9KmxyAITLkURIKyxtVdKwmBnzyk5dx7dT1jX35zB9/GpkbDgZHHfrIYaMUzaSmcL
zK058ywRwxQL4wPPmZygwi7OVOkbdTFGX4f0VaQK04kgNmQNXpGtG8UtLoYML3BNfzh0Pha6ueZp
usZjmgOiCqpY9RCmWNBc4TIjmn3RlhgNO6SRW9Ac1Qkts74YgwGiBLXwAoBURcU8oTNmtpJuZuER
/dWzmGzMsVyPutPh+IRv6o95stMBMi1x5GS7f4/N77OUf6xfvm/Q6/yl/hr9FVgGd9ifx6f5Be0n
/BfPxcvycXz9OD7RpLlCupAVCVVHVkkV8aOSsfgKq3LPcoiRt53PTjQDlDtrb4c9+vcK6HecaLpk
MPNTKYMylW08ZzE7dMbWH/6UT6WMN1oaM04jPGqw8lZWzynizpOxt/upeu5rg5VHWzG5w5mtOc4y
SGYLzdhQNfEdWdDx2pvRzB/zWpqrvCoDGGu2I/oTWaDF9NIhdsM0EGDv6lDQp32MA6KCJ6EMyLZK
akkcvZr3Qnh10GxbuMvhjdu2KnKixaSda4hRmd3M8W2GlffOREkplym8E0oYNyM/Io7DTVmm+AXa
tKE+wR2RYoK7z/UeRzgrxf6+zDwVrwJOAHl0jsF/CdgmJ6WudK+MpC+fjKyKnzSrtHZYAxkh633q
XzpCD5jj4I1AnV65HYb0OSOyJbL9pVfIPRLwbJkZcUdAnJMdHTvvrzMcZmvgD9IkRCHvdx2EFSAm
lfssc2B+S6/1CqBSdWdzB7iR5SxjPXWuNfjoM0ESWbRLAbu8ZVIzSOU1pyZfToJVrdx0cANKFeDa
kXPs9kbLrIgXpFlFo9Y/kRmr66wSOFdMiHusFeLvSwY2WWrlwM3ItbRDZse3TWUdbB3Rzqem7nEC
enlz8vAhbuIUQ+UiRZ59m2Ee9IymHK6KD0thrgU9d0wjMLQHH7bD8MOCiPklfkrSRt6OXpeSM2FD
vuDiFFG6EwY2YTXX8ON9hcZgJGkmMod3e3CDd48B47ZrDZ+c35C7Fmg3ABmtQdelEfPGxqF5JPGm
rEEAaR6L1Hbx78n1veCj/vn7gu/w8vW9fvmL1ouf+lTwCSlVfJhS1dBifSr4kASZFps3zgx2GTZf
+nFiOV8cB/csRR8JcEoa++cAGBUtTZJSBdmGTorKb2VKmfavJxarOnX6UXdaHJquehKfmy9N6FMj
Wz249OHeOooX0TYW5DoQEkabPpSJtijH1kNkOZ05ijaRZ8EhLbqdAENhKh7F4FlsVJDPctGejwUQ
jtmL8YT1FIbgLHLFtWgV4cIFdcGwRkXJe97ajMo3He7nqnW7Y9sFy17vn2yAGTrgDEsRNJgYPdte
utL6IbivmazscnAbQTb4S8e3+hVPu9h0QDlAulI56PIJxFG+qhS5A4IApYZmmxs4X9/6oXnHpMvh
p4gfbhGXywwISJGEJ4goLzNwEG2CEuIpXkhhRVStIEQsxRLp8OxjLgqRzDjFqwtwJAQ8ktFRM6Dh
V+wUlaQp9SsNTAnw4kMBtiRW/JIYXcKqieSVFcdXIjdA3kZpS74r3JPUhoBimyg82dG8AeBgJaej
9klCl+ojtGgiRXzbA1OhgYR/IdqKXyklmz7zbhrQK1mmn5p8qDlnwBlp4FlCMC1hO56XBSQjZ1Da
WlAugY6mNCgY99LsEQrfWQAZosZdQTSb72B/5TuvsDrMUA4ZpLjrzlypwJLJ+JXKeDoL+lAHDiFI
GVKcGWNwtXUJesZWCBrTLQm58f3TpPg0IV63zRQIxQXN8Ksojk2uiDaFrW0L5YWKnE0RV88TZuNt
EwBQTctQxco6zC1B5DiKlWMCsIGa48PeqTCAORB10iB7Y7oKwkfRdthGZutUEXhGUDwpSB47qMsD
Bi+ADQFGG9aom1gRfAQon8jX23Wv6D4SzA8IynDlyH5cxYoB5HYMHYTiAtWIEZZBN791tTCYk3bM
2hRHKFZEoU6xhaIYytA8uQdiqyB+jfY73imMU55+zIc2Xxotb2XLjMdV0EdQb4LJVQKbmxyoUa/o
RhFxFIvGddJd24zYzILhRlM0JB8sEqL4nJkeglCS10ijUvSkCj03MowRuFVq7rTMevJi+SpALjmK
vSRB8GoZgZqB5uIjA9A0h9Ur6RYTL75TkWDRePYJLG9rnukzIyCmexYotbGmBjEGMFXhwxjwmZeJ
WyzTrhNwRsbNZLTGlTNkT0NeNgBCmOnDIe0WLDbvx0CR63wijsZIY98Mu6RATA53o3hwi27YDimT
lqggZatmGqmHgX2O5bZaVC7JCjAtbufCv6zt8qIbCevsivxb1FZ4EsN9Lt3z3gUWRkTuPIMZTRDj
aeFBxKSiFRP1vJl2tCO1eS0KuwcgVvWbatTPXQMimxPCWHICubYTnrgX7JrBPKc3+ma3zoaxozqa
zHWhWMYFUGMpGGN/KK+rkeIo+mAfA0F2x2CEuxc7bfuQM9FlbBmW5oxTtC5ujKFr7otxHJ5GX0LZ
sAX88Z2Bbu85SArrDK1+GlwR0RG4+7bSzGc/QN91iC2C+TIQ46vO8x/00LTX1ih5a/jEn/u8X3Zm
AQOEITfAM953a6tEPc278Kkzu92c0P+RArcDMuovHBXAwkYLlFbhn9x5vhzzDrg6yeCEQWdXqR0k
dx27yHVWRhxPSSpJ2oq/BbVzqm1i9zTkaROEgx025HTplM614bVfs6m/ryygJHyKt64PNcDrwkUl
5ivPjM67ZLKWZSle9JFzvMhB9DE304G1IqXym12VktOeN/7llAi5nFrs1hoGHfCwg57scwWmaYz8
xSn6cG0oaI0DvSZK4lcJzQZB6OuIXC6vpnIxw7vxTcA3gULgOLBwmFVD4Ua6uXOJcsvnbdShY+vd
y0BhdHp4OjZcHYxNe1+BdhyIOzpxbph52YWnCsfjZFCnFaAnVKieWkF7cipV8OegTmIZwVSAu4C1
YGv0Ql9mAy2ftKvrKLYYPNTOhQ8ZqFCIIPQbLGww81WhPJoKI2QFwLPqGoswhKHELq4KiEMarBeg
61BQ3f4tVlCiYUzPB4Up6kfgrViVLfhFsFAuJwU0kpCNSoU46uJyE3kCxpILyA0IEqQkwti1Ql9A
yQXJHxlLZJ0M5RGpWc6N46HJx7z/brNN2wwKsmS47XmssEuEENp847ipITKZCs3URSF5dtCaEFly
PpN+mPTA7bToJvUz1tzOXtIQJ+100YN9SgxeagFkuFZEKAc0VKYH7zHOCgtkVKHxVR+IFITgryVQ
qUyG23/ryY96UrJg/6d6so5gXv9FRal+7lNFaQjSRpkRMtT/0A386IERmWOIM5Axqdki4oBPBSXT
dR2A6h/KLMq8HxNE5wtlJEsB6RrYs1QZ+hsTRMTiv7TAPIJnMtG3TIOkC7YNPxeUca0l0sF2cJkJ
IvkOoWyt51EXoQuQKM8DeqDBOpu7yn62Q3Ood56GGBtgkTY81bPT3HuhWdx4XmTNAOO6AaZQ7rQP
jdHpnM0UeGs7jLGxQrAfFcp+VFD7VIK3l6N95aKn6cit6Xo8gen0AvL+hWQhcxGN13bjorFFaygV
PV9O1EQ6QP2xB8cAYB8SC225Yu4HNbSwQEwvieLxV4rM38lAkZeg9U+K2w+QRjGTSBvIARJbnbc3
A5r6Htx/mdnXZm9dZ5GtrxLD+Tr54xEAPBpxogIqIgNKogNCN4aoqtIEcpUrwEwT3qzKGihU6gAx
59cxMQQ9cQSSWILEztMLXOfnXYhsndwo0H2Ng16tDsivHEp3WRJx0FflXYUT5mAATl6A7dQXtYoR
rWE2IHJVyZMqL6E1RmSr+KYucqZps1M+woJhSa5D1u5E/T439YRUYUzXbtPt0iYGnZntdG6w0iH3
fqKBNFV+Aw3KhuOBdE4FZQY+Q95D71q7KOf/mf1IWoJX3OeEQnBUnVwTMkKZvulJeGur9Ii2jc0L
kKl7EjJPkUqY6FXWBCm1/iJAGhWoBUaRmtehTTBFDZkQ8QORIvk585TrUmVYJCrNIs8dmIs9CRdF
MJ6zsF+2YiCitMi3qUrDkGYHqpOADCIz72OVmGGr7Axus7VdkiVEksZSU/kaaJ43ZuX0x04Vys6k
Yjhqc9+qXA43s0ZY+91p7snssJjv5CrFo1J5HjHBHvUUv/qIv3d2yMbXIvzDqd0HVDyPjh8sJeEg
aQYbGM0+C9j+WptQivnzZUqcCA3CxvOveLMWR/BhF6mXXM2T/RypHJJcJZLUI7FcJiUEkJ7pvLV5
2+kEmBRAs12VaBJq7oPm0KWABkHUHQNW12pFNkiOVpldQqA9B5hy1TfUiW3PtDNwzI1mVM9YECHA
yrtMpavYxKyUxK1MEdBMYjxREoOw7CuuX6JZyDkl/2U8oIZ8l0S3NES46IAfY5XpIsBaLtvUA0eu
El8YjH5NVQaMnJkKu2NK3CUBMfzyBHgN4WOlsmN0kV1KwmTAiG8qL3nVNH/pqrQZR+XOZATQKP8y
11547qhsGmJZappS8mo0kafnGp7zpfWRZoP0CqFJ9sKYOVm3RN7ojf+Yqgwcti2sDYjF8dz5IiUm
p9MTKl3zabCzl5YYndniQYnVictolSKNgZZJsANiZOJ3DJXDA/7l0Klkntx0882EtcyUSrepkx5M
jA9aAOM80uv8hJ3Cb87GXiduas4hXCrHoudV7U6P3QfSjVKasIwwMnL1mk2VinZLO1AtgrwAuDSa
8mqczDNiZvVjyAdryWtuYdXG4GX10KyoY8eHucqDa0ZT6XlsxhYCbrxoQ6qlO5101kVZ6o6xCCBd
sc+323DXagYLCRny0FMpdDJt/OTfsc93qpKa6/7DNf2efy3e/nJWrX7wxz0t5RewZIxfJf5W+THD
+c89bX5hKMTKGPe0MEFZ/+ei/mAuSexYHuswdu4/x4Ryff+H0vQbl7RlqzXenyt3FwO2hbyQyQ+b
fQ+Owi8rd4e8bJeNmXZJQMAS3RA9vjm/+wMSnMSCXd4ZYmMRoVJPQZYCGC3raw/j4Ek6vUb2g1Pk
znVA9+gCH5wQ6zR6/UCz6Exvlsa5aRPmt5AqmjeuVFyvRI4XNNAnEB+ZW1SHIMKQt2wxP47rvtS8
Ta3Lx7xMxFtQEQNcybHcFCoaGFFTS6qNOjoKvtcA6bZgJFw/lx+xwipgeMamfDbkzlkcAzIa2O9Z
IW1TQy5xJ0GVj5JPhIosTj3AM6lEP0Wa8aRijTPHWnNA9EdXRR5ndRysPRWDXE9kcKNegYuUjPho
SEs2JhAoLhf1Qqoo5dkYmD+NzVUMw5Rau02fuPymG11/iExY542WHKMqCNEMead4RoFlSP0wCUoX
l6OR7Lm3JkIY59KKmi0Ia7cn9tlRAdAwmaKz/CMU2iAemvZVrBtLZUaTtop9SgVJ96UrF7wsGg4N
lqgW2iCY3MayBUtZoaWmvC/G08yxvc0bMzmNJFYXKrraUyHWOJv5oWSeow1XAGHqS4O8S0CTJF/X
KgMbHZRi4IzE5jCxwJseh6gX0MuV/g1E+3Lbw2kXa97Y+T6v+57DjPhq///YO5PmuI10i/6VF71H
B+Zh0ZtCzcViFUeR3CAoDpiBxDz8+neSbtsSrZbCe2960TIJsgggM+9377m24h4RpTGGt15wTEGg
kL7Rqi64QkZ/zCILZGdhP4d1TvK64XQKK+wxZUhABaR4Z5uR+60SXmQBbTVuMp0y1A5oU/l7hAWs
MsL2NOXoGzkDIN+s3RSkaxoyOLV3dV85e92iCrFPmGYkcCj0PN+YEf/j1Ry3R6ujhXEagPeR4R34
AVq9w75W94NuHntLKPvJcGhnZTB6tj6oYTUyAY5AwsS+3mAsF0nWXmCWQPPjRjsxHaRgpLKqg23y
ElfKEpFr0OHmzN2G4MJT1jvLVh2pgqRcfT+MYFSzPtTWlhm4MP1pGcu9V11pLuwkvyq77i5QjGMj
HJ2yJEVcAsGfdrqk8NFwRRUO/a55a2W3KuWoK9d9a5XxEGfOITadiykqvZWTRJuK1iybozy/84la
pgsrz5/mXjlYWnyRRxwE484KjoWLtpPbwlh3EXHlaQyBnWU7HGDbtOKP5EbsBYY4WSiJEywQiJ5D
GnQXrR2fxp6E9liwGCttn/uuB4/YznZea63cun7OayayZUrvmPtuOzGvlnzNrn4NIMdX+6Zch7p6
LZqBAFpCZsiEWzQCh2+nRdRaEaeA7M7N1BObtjsGYS43qVfaSNOevQ/c+V1U2jXe1p0DMcfI85Xd
jgaxhRGCeepjSHiO6CjC8rlqqFoChOqem7S4dkv91Ut5hvPMeGu96dpU4MFSnHmcKqpfU9MX/I3z
pAOhqrUUKPV+D4R5wdH4hZnw7SDvRy1NdnUXnedyPOVAxxziYMFYbp289HmRsrGw1CvA4PBQJ1+f
p10RdEuFiCCmpg2bxa1jA5gXYMyaca1Y6sibKH6xGYVl+HAVSunTyGGcVJ4IjeE8JShPjoXeti48
6y1c6T7cjtRN5aVygS68Bu7AuV1fTOlIhi9/x23iB7W2ND0Y4G32VmdvZdBdw7bljlShrIP6GugO
QBlsZsIVJtdoa98MwL4CiGlae82xBVFjvDZH7zZLZp1uS3izUH03uQl1IfC4AwFj4Ghfu17+Tir+
kjfcGuHcbyC92+6I6ttEO0PDUjHXD6rWssVyb2xbPLhRcy2jml3+WkzirVIBBOFIWDiG7LET6yYA
Fx6aK3o2gGhFV0YdHcveuGaz+a4p1B3U6kLFKi1Udat4/dZtlLUaZTcJONjW0u442iwcmEpgF8Qq
UMhlqN2aR/Gy8dy1ZjR7I5i4YLWiMWLk+NMsy4qyLA6wL/RvPPCtmBTgpJpIuvk8SRVWUer2iuG5
KRq/cJUDfIDdrDirciI42Ncp4CEWiUgEFbTfiYoG29noLWTbrnhqK+gbwiEvCE0KUIBftvW2cK2d
OuYczSxvQzLnYajVL2WdXOMhR/ga2W12fHbeKizardNa3J0O3rH+Co7oQeC6ZgZ7k8XO1h2DE67l
XWHm+z7QSNZRIF10kK2y6SwCqSHBzBjcq4SqZ0MbH4UtkSdq5+ueexfUNrPK5lQ01nU3slskyXPT
WdayFyi3NRZSyhAvMiskV1Kpi4GRRi1fVHP5MKXtQa+tjRAg6dqB8/ngN4Pc9JDbFMVdLaa9ppcH
RQdFDJw6oGo4zm4aTBT+rLf7mtnAPAw+7GkWnuQVgfguaXPEJ5hnC89pH01L48SGb7mkDTvWXm1g
BUVbPaR1tFN17cT7FrNKnW7AtRysOea5hDbuz6r2GFmNWHtGepvXLQGrMd2khnZOUoz/KRTAohyM
Nd6rbZDa/qAr+SqeS6jCCJLhAHd80pdpRrFiVJzRuTdJMO7HYnoVilgp4KBbEmPS48cT0DAW6J1V
14WrOlIKHzUe5YyRdsYiMXrFtoed0vfWmojShvDaGtzbqihlIRgldRie5vWYF4epDQ91a90ybmJl
xzFeNJzPYqgy0aDsKX7mXkfqo4aj1spdprTHGYmkqcVL54JsSRoPa9947E001Vxl+ftmS0sUlP1N
8X9Fl5/LuGib//xLInI+7xARdySPB8MELpzvZZx2qOua9ItyUnNmH+mipGQQDfHnF2Gf+4OL2BoI
A5Otrf5p+MjYTrWZnCqn0f1aMz/oHsfyPaQjE+/Tz6/0ow0vYKE/riR/km+MGWVQTtoccCUd7KfJ
ccmBFDATYL9Puqe4tP2fX+6Hnx5PExlYDoOMzL6/nM44xKWoKzz3ylPbHSrq7LOXn1/iR78Ru2U2
y9ILg3P2+0sEtjOqHkXWZ9iUybDpMJdnEdpvSCkk5772F5C3H/xGpibBrRhoUPXsTycGOULTJ7WN
z7iRF7GBmQracfqL3wlnz+f74buLyH//5q/UBEpLoJiLJKhpbX2B8WL580/tV7+G/PdvrtC3MxII
jN0zI0N7II1Z3gaMH39+ke8NzR+nq+9+jU9/GpFOsHvyJj6PirGgS9GLz4ClecE9UoluNye9a35x
xR/9WoyuYYgQkMHKJEXZb36tNMa+UyRafHaqq0oNfZHtnOD957/Vj66BB9U2bYP7QHM/fXQBJRa2
29fJuWiiVQ7VvSj9Ibv7+UV+9NEZcFBQjzXD0b1PFylpvXHiGIBnLR4L+yLipEi4AK7kTdIdTGaJ
Q3D18yvKe+rTi45X3J9X/PTHAk9AdF+bGNGPCtP4LwYbqJ9fQfv+k5O+XEtzcO7K6meb5/XTy6cp
TQyio5afk4t6B63V746lD0nrKrq2fEi2a8iU659f8/tL/nYLfvtbfbok5ot8xPOYnHu7oSYLbxfZ
Fb3c/vwqP/7sEPox3nHnfZRef3PbUVxqO22uJuegAqPFNNZtf/HZyU//818H6wx3m+d54BU+3dgC
4z8GFeApDkffydXZbT7FJkGhJPnF7/KjT+zbK316wXEiLmskzeSsWW+Re2UFN9X8i9fbjy9BykLz
HJ4k59OtFmtp75pzmJ6L4mQRvBqBvOmd/Yul7kePEDfbH1f59KcHdRW1U8hV4vSF1tjAUFYwIKy0
89P2rKSbzPrF3+gvvxZecdhFJmFViff+HCIlruyI3Cmzc9tvqvppsFfVfP03b7RPl0Bm+/b9VgAx
pjyjys70bcHtgWOfWL/42P5yL39cQtqtKBHw0Nm+v0QyjrkCiS47N9mLMu8YEvziAn+5lbkA0zdy
cxbCm27JBf2bh4VXp0Oebc7P7PPyDs9UsosBqRXe28dn9Q+3Ute/uWmWz+3zf2n4l8/523/+dXyr
X95e/2rGk1/1hyQL0d5CXcU7/NFJwT/9Iclq/yZuDNYCPZS31jeSrEH7BTthXHiehlrHw/vn7FQi
LcFjMO40mKHIZoy/Icvi4PvubQeFyyWFxY6RCAh7RvPzpttQdLSQKk1Pmkp2cE/VnlD9uM9NBYMN
wV+WXaZ5PuSpCtQDVa56DnUr3467HWSeTSFdWFKCovUHVUcsBD1AmmHWB3XMyughkMYMuy1SphfI
BfmHa4NyNYu0w1boVubHeDvKlLI/hWplz9GfA25kapLTg8APUtg0xTo4ROgj24AXnilMH+9xz73a
eEmEUfINIDtsw9Fa951bbs3Gu8Jk/N6XIKvyJEdDkvYUMbTpXYBjBbAEwzl1av101E4urpYhBwlh
S6NLKC0vY+1ue1tg7k+HbWDrj6a0xwzl1K16aZkpy6pfsZlItsLIs5VXOy5DqAAHTBU9dGnVLguL
UsEwZfYxyymIIech3cdoZJBTkuhjYFJ9DE90OUcZ5UQlilTi2nLK0sh5CzDR8NqRMxhbTmNKOZch
kmWdYjmrCTWmNhPjm0rOcSI50SnkbMeunHYDWrxZRx+jn15OgXTGQYGcC5H6xHgSMY6D1YVg+jFA
SuQsCV6kcXBFzckv96Ym5GcoqnhvOoqt7cjHKkAkqYSErp1qX7XKMJddB0K0SpJj1HeLLnDxVEoc
V0HOGdzzWrXyKzPxKAgf6UVaGHX6hoHzCynji1LF2Uet3SbDuONT13KsPeUIeYsbKY+XFk3bY1Ts
hV4/6kp6kQykpis9vzWoKFxR7/di4o+hr/kSRzZWpKh1UuyOE2Qmw+iNBJ9klMxHMk0kkEGzpIJU
m2H2Aap2tOtyTOmA3gvqqXSYpXP4Mo+8dgO1LDlso5CWcr5pkf1G7rVeUJ5rOVxN6aZqm6URjatO
a5eODKCP7bgkWGehk/UJaWWk+yAwL1t7oLNOtfA+hRjcVQJvY8x/mci5KVKLwwHKpyMKw6vlwTed
Tfqso7hfqqMKCo8WmLTGKDiJtNmranuw47H3UWH1VSxRbCpMNlvC2QIobYMMDXoS3BYUjbOoyAR5
2MMWTIA8zKPOWx6Er2DLMp+ny28lDC6RVDiJh5t6xHAVYFwn0XGlhMghWHhElJH5JWCuUOs2XAbE
00kKIQhjW0ucMt0XkkT3z/rxm/mGJf8nU72y+AEsSedrfl89ZMKEqRkruI6K+hGI/X31IGBrE0dR
0afI4n3kUn63coNRIlKHYQej938RS386bxgMWq6Hk5ulRSUn+DdWD8OTO9Q/98py9WD9oPWExhZc
XBiEvt9gNDN72M7q7MvQgFUHJkcVyLcune9LZYQAA5gr6PDjKQQrMto5A6dkIpVjOuzi5EOBV7Oj
28Vqjt4acg0q/QiwmeipHe8PMMGyU9CYByvjHdyiTH8ZOiyoy1kNaQwhfaJ4YteYNSARr7fs8apL
HGx5kVKGa8cCBtsBMYaLGPMOMLat9M40DcSOqlf7BZbRHFFBadZBp94mhX6sCztbkXolB6heF5O0
lGqgJcpAYHLOD0UVXGjDeD81pMwJzgXMwOnqEzu8FsivIY9ObCexnzqkULIRZmsMt5f3I1C/fpy/
5I53psixw19sUOXb0GAxIvBxfANEnLv7GvlPl++VuOsfWsZACy3MDnmsWojw0xmw8bQe7N727c7r
6N2sWt9w5nGZtsit6lSABCINuCC0tFKtblomsFVwf/evijkecE3iymOgRxJGex1HSiQ6q1knarWN
LQR1ql4uElcXflzX952FOzmphoumYxffA4ojoWPcQD9ZV06n08cZ+LmCdT+A9bTjsEknqVleJnp5
TXTPZ3t+iEH9RRDnFz0uEA2MxdRlX82Jzto66petwYg0S0kuQ8rrRbg3g3xVCxcXoWyVZtCZYB4q
07U7OfjHDWo7FJwpaVYnF1iMaf4Nv3Q4mZBTPJyLkxEvIfSdRwdcr+m1vla1+77rE1yl9ZewZDo3
p9ZhmrSbNhxXgJio3R0pqiqS67DoL8DyLlMnpqHSnuGJWOBihKkE2zoNIl8dvTMvdGflVsZbmWnN
VsNTRydKCeKkaDcRpQyFkd5xXr2HKbwoRXVSIoGq76U6NmIvoVYiwTcPMcNxlzIa2anGoyoAzND4
uOmH7GZMLSJJ1bSA1sBC6qLhTE2C/1vVo4MQjFkMbyYbOgxfCkfHA6S3X8aAhlGzuTUb1l6yqJsi
8k5JY0FHYPJotRhdGTjg2R+gh6RgSFNtWbr4SI22u6EzFomVtBHjhXAXNma4rdrqurPnRwZXT3Cn
Yn+E6bjwkrhaJb2p+aba3fUxYx0tNeNlaUd7RSn3quM9F9jNAHJXuq+X2g1y0TquzVvRqBvFKM+Q
mQdOnsYNKTp36dJ5tKCBmc5h8xg7QvFpOVuPccYY2yk2hTY9Q80et+kUUkZIiY4SuZ5fKFhh2HCV
67YtHpNC0i8wfvOUze7BUyfiBRratzrXEli2zgc8voGemStY7bQBQ2LNmukEOZUxFSTDsq4uMZeB
eA6ifZ0bdC5p41sae9eJSbzWNghraRmY6mae3oceL1jfZ8UyCImGIUxgf2toMyYKUCKJdzd2gEuO
nixnkWoKmQcB07SaSsuHRbJNw/HZjtpi1dpFAY7Dw+BTHTXFfEsZJi7LkWRuLS3jFt7xGQ95jZec
Hu3tNJePxYfJHLe5I23nAv+5Ko3oLrExQNUY/0bd3IUEexeQzbAX6slRw8kOpWsDB/TgeHiN6uCQ
Z8kuwvkeRNV7K63wBDkuILafbEXcCmmWNyY2kKo00HvSSl9LUz1p25UjbfYJfvtCGu8dacGn+3Zh
SVP+IO35cT/ce9Kw35Vkg3tp4i/ilMJ6bP0j/v5UGv1Jypa+N+pkL0gB6MPbIEMBjowHFNRBR9RC
jxOfqEZRdDbQGE1f530tO6QNyqR1E4EkhFs+pXiJZwqn1aZ88Signimi7mUjNX6vWyE7qgf64ZdW
Rm+1JhusK5DaPfGe0Ago6QwHSNTUXTO8BXlk4/WITrPsw7ZkM3YoO7JnIi8Oi/syctUdzDwmyoE7
7kxZrS2Ch8jx5k1N6XY+MPIKTCjcmmzkphzlzpAd3YjkMLJ/o/L9s0v6bZfEtuFnuySsTz84ZPNF
f2yTvH/LLkaPw7SlynaI7w7ZpsULkc3Qb/amP31PGl/kmB5HDKS+b0nXFNThTzY5YwMIcXWVsom/
sUuiSeLTJsmUx2vb08AHErtzkQC+VWGqssIQHyXRuerwB2yrD5CA5Zw0EuocCsIPygC4jgHkAAU+
qkeES7IIpnZs6zW8NBgFwwevADzPllS+ETyLNE/U1TAUmXJg2whrRMOCQg/kDLDsbKZFnOP8MyPR
+1qnjyh/szVndMI3XiBz8YVDqVk/2Ty/nP08bA/11Dkz9cpxFW0dkieAjRKLZjBWVGtbhTWLWCFR
OnY1ZPUpJBzDQMaYBmcVugRkFqkLq3duO+XNioG9/nPr/3bro8f871v/8lk8/+DO52t+v/Nx/Kk2
XaiooUj9DEm+ufN1QKucYtnlk0//0JD+PCDwpOgGhwO42UzX+KrfDwjuvzWLqDvwGalaqY77d259
gH6f7338BtA9pIrFmYOg+vf3fl01uWn1+nwSomFyrrcsdR7HVGFNd1pSbQJ5oB+0ahmI7qvaBZiQ
R6o9RvPQWEEm68XvZCEKVYlHa2aebeHugV3TstmglpvU2xS4ZzULNT/mPqfeRN2ko3ccDOuizMuN
G3rbLtFPiYqP3oUT4tchhYWc0W9sCwQnltw3xS5AX9DrkPZmeHTsVCwUoBILt7JWE1EC6bne5Ea8
U63B8YXu3jvCODd6drJQyxYdFS54HvqMQM60CUYyMpPlXWVJeBMOKZ3KbHkmCxNemJUqz7T5NpRh
cpznTjwXLdeZrH4zK7UEeIU+gss2V1J1DWCkXgLpiVatF6sthh+x79QwXeliKAgHON4yjSo/zqy1
V2VfQ1o/JNIIX3qz6aqaoT7dHxswzuPaUeHYDumWLMRqDFsP3li0rM1M2+lTeTDULN5rZE+pefF8
t1YpgElJfaYlC/Zg31RabK8nt259hWQUuLTaPNHQsisGlvVy9jCnN1a2Q1+8tFMDW1/R+k0bPDWh
e5soGFBixdiaU/CGmk9FIr4M17OpnrASck8lYQGax7dlFDTIF7l6C0UbW81o7fKCPKUZimvksC22
QMePLFxeIWF+v4ybALm8VzF1k1cXCTUtBYfKOYqnVRWwn7LC9KXWChwslYZ8osz6tVfBdZytdBVZ
ZJ1IIUdLBW1w3Q+ql2L01nP8g0EBhVKxtrzTBn+gP3MnqLsbHZO3pWkaC1t3kk1bWlm1rZuwDG5c
4ql7zY5eQ6UUKzdIvf0sIkzxWb2rq/C2UXmrq62+NRXR+nlrr5qos1Y9zY5uX5SHwq2PkGvfy5H2
SnMe0E37B9FM7EHn+L7TK0LJnMv9PhAP+OnVldPMF10xXuS5avq1mxBgdEkQl+GmHawjG3EeCeWe
ukmocMO8TXR0KTs0Tw6yHoi1tRVzJMOgCYswbTacli8yG8Os6rW0ZwenXk3vvBGsXU5QItQrTicE
1+AcVPGqTspmHUfFs6emxygETJWF0YqGiWORUati9UxnHeU1DuI7Qo+VHyphRORNfTVicU/Vw1Ih
c7CosTA/97W1UjTlsafvjoO9ezRGNnHaZKdXVCs+MUc8NJrz6szNYbLE5ayxIwZLuGhK6zSWpX4s
6nyTqVW2Eo59MMYagnqiojNE132odos0np505zZVVubkHkQMs7GnUoduldovhHIb94RZ2jS7wkGs
cGipH4XSkoDpAk4acIIpZPBtA377QPA5TlaKYm9naSeGaoGvsMYKw5Z9kUXe0fE8fIXpiRXX70z+
6jpGod4Zw02az0+eTaNmCwHYZuW3ENkyJQn9tq8uumHeeSL+iocUbIymEa0YPPTz5KbNrK9ejSGs
G8H6FJVzHyrkfbU84CEuI/TUqEVu5l248OZs3DSFPuW/mS/+GenoDCd/suK+9c+vP1pz+ao/1lxG
OuwJma1BWcD4wFTtd1GOXhWw4RJri43eBJL1x27ToKRMt8Hn2mwCQcVo36y5Ht/P+pjAAB0H2vC3
ltwPQPl3mpwjaTQWUyWcEzY/xfdLbtDFwrCCeDrFxdmYgODqVHssACrcjbM+LNRJh/uoFxdgt6/B
en6dRKb4DuLKYoigK5HWJRLTesATZUkAx7ZRsb/CmzpmnXc/z9WdMRTvWNHWlWJLGrrzmIkctmtj
6z5HoY2q5xc43/DcBb2H5dug36HCemmr5qKy03ubMcvaKG22AxgZdVZzKs6shzTjNp/mr4CvClYg
b0u3610at+faMy9jl6ZxRsE3eUotUzmGl0Hf7stBslGU5qC5SYfDktDoWPI7z8vENYiAd7vOjdae
DR8isYp1ESlfOgFckzUd48Rl5obr2YzIEjsO1Y5Fgz9r6JbIHevKxeVPr8gC/s0rAtOpSel8CkG6
38wUFcd9QHGSaPy5Gln/EoidcB/YytM6tfIU6zGfU6LhQ+Cg/asZvRIxvN4BxqsyBpK4lSzdoV9m
jAaX3sTOZPDmhaGhI+DGXc21dS9D7KkfoqLceNDGWgniLJESR7tp5jttGObEx/1fRUsLHCaUtAST
0eU4hYnkloWZuYSjniNzxheuTQFLM23UbNzOQ2+vOqzKiySkzl01e9+RFJ8AP6vpcFjA6P4mEuuY
qY23wLr0NJvs1jBiDfB1u7u2KJ5inL6Bhec/KxmNNLup6w5jDcvBToptqavKKkoFsHunP3qSN5NO
xoHp1pfJtPe5oEY6t6bnSrOqOzPHoZubrPD9YhDDjoPKZkySAD0yQB+Ngy2+n9IPK+MwgVYDXovB
dVImDjO5e6/0OL/tSqF8Qycv0qPsoge5wbCbPYvOllLQ0hUWhCAVQNCV2MRgpReqw1BRD9ZGh1sS
9jrUru5+zrIvmaW/lwafGS/4B9UtLyB/3GG8fQzz+jxG6ABj66IXzg9NXeR8+2gbjInjA8NYFWO7
zzuHuzmZH3qs5YVWPbdTvIKCckA/W2qxeLTjoQX9S9lHqhacrursluXiLmrgJIjObPjR0gPZj5WY
UbNb57FiaLeoO/tYM+qErbtRDfL8WPs36kQkoeueLDe81pHEHK04YXc8jUL1eMZmHSEXlbmyi4s5
7S91I1ynxWuKStj1bbJqhmBTxoOkZpgogtZ0jm1q9yieW3gDIcPWaR7mjsIBxp/PeUC83FLT1gdb
sdeyUEcKm24h+pSLscwod6mdW1K2B6y7j7MbHWn6ujJ0ZcPWDGxA5b3SdrYF4cRt5FS7vsu5AQPp
9h5XQaK/WYkpeKC0W27jB6flcKoF5WUbYxn2jFdvngDqK3CMAgaQeaPRih3q9EAHhbXI7MhbuG2t
0bc7Zmcw4dcp2clFNIlqF/SRSimhRt7V9r6OQfucZtU50GqEc8cKls2gImFPlce2xjoAtDXPs+Fu
KD+KGIj2VXIjCu0lmEj5w8y6m8vywpjDr1qh7SElTds88JRVm+pgb8Nk0YiowSBPZI/U5Fsp6ILq
yBWS4KQEOm8rFnZ4IgtqMRjBWXRcB2Z9MWvOodW1fdzRIxy113XYE4IfjJ09m5djpxzKnN8yTqul
aCN1Yc2KucRms6QQi/43x1z+c8j+OGRLAtL/XvIfu68/WPDl1/yx4Gss0J700RFeY7L2/YIP302F
dgU26TuCJgs+Mza0J+Zi/CcYfL49ZHsyAO/xT5IsR+Lub+hLxPH+esjGMW2biABI6wB3v1/xs7Ym
9FOO6qlNyofAK6wNJzF0IaVjKuZq4soqiVnRmuVdypk/pSYys8zTLKuhoX2N8LtYii5qacU33VT2
U9mbfkCKdUdxrGfFFz2rd+u+aD0lXno+bA22ypQ3DTsvcNeo+OpSUHnJk51hL2J25NA9MhT11uS8
cFuF1MOHQrzADjuUnbirNTIPJodqjibVSzZJrktjFotqGLYjfguOefIxhEpBbME0z4phHwJ78Fbt
x1M7KMFSkU9yxiM98WizRL4EOXgPfSrgnMnn3y081r9SuW7p+zp78i2Ry/dFZjAhC+hiWgZA8Dmj
MAYpgukcjWa9qnnlNLx6Iqu6dOW7SETpQ6wbt23piaXC60qkFu+tObyrKYmMq2bX2fA281nbYkh8
VeU7j+TaljT7VaEmRzZFjzkvRzpBbjVg7jzEvDdrXb0VToLYzB+hJQPsZ/Iti9jwPMn3bsML2JVv
YuaMEO7p4RxM9ezKt3UUxFcxuf6Fkg/usJ8mtSYzQpStFnvVLi7dOT70UxnujKRhmOMRe7QYdWLZ
aeCgkCOwM5wbIls6czoibSjIeAXFO/XCA8AH9qSkFozDtHvydDFtsoLUX28nOwwh3jFs6jed0SnH
Die8UroUMT62EOJ7CPKT/p6xlkCBsRE6okTusCJkjaKocSukVrhsLcgCBd2Se/g1pwinha9m7mlQ
SiA/NknscCrf85RjdqNRIVvrl6IUhd8ZM9bs2GQYC8CHJLqySUYs6L3WPdkiuk9TRpQ1cSb66GAS
6WQGGjCDi6yQ0cdmvneIHrKofGVIu+kwJ+3NQrnSXPFuRtOqi0YEk9H1i9SufbWtef1m1U7Y+X4k
YmaGxmnS0pNpdCN0Y+QOtUy+qENwZ+UUgLWkxaD1OHd4JSx+bB18i95AzetYfivGRp2qXudTu1eH
eFOlyXUchyu7yx4Htf5qeXSuaynbwqkhEEraf1nbQ70o1eJouXy4lqnsmcGYG1vFmtJ5U7osKK9Q
K+3F1YlUNe30BbZDt+g1sRaErGjanavlNPa7NJhVvy/UyyEbvkZ81is50/ILO67YbkNgKMTRK5uV
7ZbrJDIa4ArBCxwDMAJ0CivZUPnsU0s/xQQ9TmTpJi9DzZqsVykzDMRlmekkF1VQ634s8tRPdX2T
RM2Tm1SHPC/utHS+15Tmip+PdKeJKWXw6LQoYPrr3TKc+4GJXXp0KwkfmtVrVvunqfUE0nKEqWtU
xr2STsquzMHvF+xj+7S6MZGXI5Feu3YBIig3SQObhiRaOXyXuY6o3AG7VAeUDiSGku3ynPGXioUA
ud+m+raZF0pJeicvuYknN+vR1ZwTsgYgtqHMliRR2WOH4xWqBYdyS6WcSEv8f9bZ39ZZFqb/vc7e
vkXP+Y9WWr7qm5XW4FRtYfhnMf2eVW2gdBM3kPETjCayAey/cjYBdtPScVcCo2bMYslu8N/lbFjV
zHiY1/EK44v+3kqLhf7zSkvoBdAq14JdY38I59+OcooME2/Gj3HqORA33GN0iFoq9R2Fwq4wXGkt
8C4LjN0i6LvdOEzaogQqutJ6b99axMAEVU8Qn6db4MbVpktylkuNdi6Ow6ukEy+hPmragjEK50Qa
TTtlaSjdfYNL7HqixGVj13ZwQZrI3iWjs7Qr3fCF09dH/ENQQEI9Wo+O9hVK1ruKqW+LVkwPDCkN
3y6BBsZjdz1p45UD6v2qogoVHOwA/C0rqDR02TmTV69hoRBemzxBWJ2fyh1TSkw7BawEp+QkZzqO
YedVowCGZo+eQHNbkOK1cTUuQoGBsjUwg6RBoZ0CnRfw2BX8f2Qetg6FKAvB5eeYXucaQCtXYdQ8
M39a1IZbLT1jOGZOwAMZEYXTt21NOSAWoOc2M6qDHcJMKdveWoAIvy6txgeBdegVdia1bUjcXTVt
5kgjYt3VK7dDdKgjO1hRDnEn5ubGq+utgLmys6r5XA+g9A3b+2JUzktZl5ecSB1yb9GeYMAZeO1t
2DMpGHj59LTo1MLcqZ13tJqhWeqNYlPPYjobkZUPyZDtaaJ5HJOW0hJPeR9DV4YV0aSz/snCbC0K
Dj4aSoOfFC25SZuPhde6QMcLo4s4JmSaVk0MZLY8u1Nyn6oQy4ccS2JWsNtQaE1f5WWBhaVp8IM2
j649Iu/r5SoNsaxMYRwRv6nuS4OaoVzNrAWFz+AT1fG25E+fASAwGNOrLdRq1HB2AByqze4sGgoe
VWdIVmz8XkzRPvSwc/KwoDXe0F5FkCbraIxkXZG+CBTXWIeF06/t0QhQPhryktyuAM9VbI6UaFIU
olXWUpjGjnCxt4H3kEAIK3kQyGZPNH6YafPVEJJqFjA31JIGP7HdvAP+I7ivyl2jy/hBFGm2jgn/
w3TwFk7tsbLDsaSOiIrXvozmZYCtycha0Au0C0Bq8BjWjyejD7a6VbCTK0526u4UJV53OmvAMhiO
Ht+zMdsbUQ1sNibnnOb2F8fLT2kBCGgwkmkZJOMmpelUreK3pmgfnCxScWe0LMiJ8FaN49V+6SHF
tEmxLlNx1PVu0yj5XRN2u7QKL9pcgC3SGz/Wp7Oe9Vuz49CKZYK7fSTDnenz3lWzx6ihLs4WzFLJ
F++SyrnQvfwybgXVCgZchmbS/TJN4anb9OuEkJKB7WnxrkviC72LL7RcPGZ0xKEbNdhOtADtxvoC
FvQEusncRFiilmOi2b5FlcqS7BlOuxCOu9K1m9DMOZXb8+grU3492MEXGprYeAvqZyiU5dXD10Hg
IDVKBFwk6S6Y67eqMMyVPmfAnz19q+IGBZJgp/THQPXrWxwdgXHVDnA6jLibMEo3/8/eeWzHcaRt
+lbmzD550kS6xWzKWxQ8CGzyAASR3kX6vPr/CaippthqzWjW2nWLByyiqjLi+14rVmkvHcz9+geJ
JEcRE8EXgb9QN0ooAa0Xeh4/z451H5DwupTkXS7rltE0TYxb9IvPBpk+C1SFN6Y2Dgtjxtzvd9t2
Ri9dF16wNpv+RkYdTajmfR81Z72nqMutvEMMcL4I3Pwmq6lld2PtEGEZi+22WOnteHAmb90rGoLS
YBuFW5YtnWJIKTgcS8RW0Xku0IgA/48rTWYf4Rzck4oNLGqYdB/FUbUdo+RdVvYlLA0kxt4wr4g4
M5mshH4cWCd2LRml7kBu6FzPN5NlDWutx2yb+uHdaMXrztR2lPwdfT/vN6KSB+QJoPxkVy6ZGKet
NdDunjmlvSE98msudXJJ9dca9fd2NCNV/N5fOV3+YNr9aaaDcFEQKih6sVFZIn3pHYlO2SVN0O5m
vkTLYXZiBkl9O7nGN5Clsx1yZo+qPiuJ1gQ7f2+JyG7H+nUew7Ub83Q2U7fELPdcQlIFKckD4wA+
mupYxDlNwxbbPl8C4ks4uauFG4OV2ikl0+Pk3lcdedvIddKWgzK2HIJDMnfHw43gfI7PhsV8Ozb+
RfpzuDXF8JjxvV2w2iQ8KITc9ybriS9vpA0W4rhzCdgVvnJ3ynUZRx1isIniYMtyLp6nAdeAsG1l
I7/GqXFnFx36/Nl/MNz2OUmjAKWhRzAvCR8LuoTIFR2NzWx6bxaKnq0kxJB/35tM6nJReOV7E8yM
gYnRr0hQna+oFrahpetr7rzzIPizgb6V1odJBmtdWpVW0izVvQeKMdbd+h2h/yVJyKQKtCCF4gnO
RuWwUIcTIHTp98SoQ38HCW1hPGX1MvDon3FxXFdVXAB3lpuyC3cToC4k35ulEdE4aMXdVKLlirXk
JXWrb4qCtlTECNFTW+YIJbDt7wwVQwJi7B6IC9gDFnEVF4KACBVbQqHYRKqj0Vz8WdCpkX+kKuQE
tumCPjBbkD930q04BxevPjytCNeox58HVTOn1aSWhOSnpCpIpQq1r7qKViHj7cxpjpTkLPpoG8XC
1ki5Im9PZx+qr8oM6wd7YKwroDmu+3mtG34dnf6Zoz/naAUw/fc5+iJfixCD1nc8w+20f/8///tf
CVL81I85Gt04Mjd2FJK8hfFpLfpBUVGyC2lhm7BRns2gDSz1QxZifcHc7XDcAGWBT5Hz/fscbX1h
IFdDOX+tinr8W/VLrNS/zNGgZQhMKDNhLuck8ZjYf56ja4f2kIH2JLwfBiGtc5b66JT84KiNtX4s
3IY4Vk2fuheRRAcqAZ+9kFo8IJNvVm8bK/IcB5fkuyzv17WlJ8TU1XRmJDHUKkrz8pE8RbrSSMJq
QproJxQdSexQjldZ8pWGu/g7baqB3JiFDYFC68ay4PQvwPM3EcJ0GveIxPeXmRRE/sqEKBhEyD6E
OXrQgNEGerni9kvsUaVKyQ/NC2mmTRFh2nHQLyIT0Nsz0PIqqa9mIU8ghifkXKWHBEjkkHXGpZpL
NC46QpDhxrDmU9T7yjh5EmW2N8JoP8YBq4QjOSxQZyzLpu8YPEV0qoSz1SvtOgGjvq0C79hWEeRL
CG0W+g25rU0pl6bGnTY5NOlIql5Wbt1dxra5aOnoURFIT8kkYLvKclgzGTigYk6rofy2JvmRWu1d
nOl36I5ye9lnbXGt1el8tgTDZV1twsqJvpI2vnRbbxk0QU4gBGl+Vhl9oDFIlmblhmuz9BZo1GG3
rPxOc+xhU3mwGW5NxouEuke/61Pi5yzw1dBhSFveyjSK6NKHBFrGFQGVFtr0dtTKW2cAOyAykTtE
Liy/KxaVidwn1s6ETG/oEMUs01XioaHpF8id6R8cfoMmKCbsO1+OHejRXLnVsx10TPSGhp6GOzNs
ls1Em9VPj+L1bzTrX2RYkEJKrRg6bzQsEMRor/74xU70aNBTv0muTD2qNtR/ma/RxPs0kOT3r4CJ
fyh6k4Pnv59/19nrt+/yT84/furH+UcqrQ5UYDus64DzSpb24/yDogdyh593EIt+Ctx+P//8L+R1
4KrUCQEQhq5w9B84grLUIIwjQo8gCtqy/lYFAvvrL+cfrICtQjqU6RK0QyEWP59//TQgfBHucGnH
PqW0MX0q++mWxGpCpP3wkht18o1HrCAp3LpHSA3Zyzxw57nDhxbpGxO/L8OXNlOPVK9Jp/TIlSPd
O5bBmwxRSY0ZgG7fFbeC3nuI8zLYDswj1CEUq6hy3zorvnP6+SlCkLQ0M8TbZiWWYxnllL1WB0uJ
9XJXqcL9YjNn5h2vtRpaA5gAyTTCc4CNxOuSJQW9Z+78B1ogGETT8D1pqMeWwY0uxksUNrvShcyE
MLwxI13fUEyB70L016PplmsVz7JwTeZ7gmwUr0eFFYtd3XGgCzPmuDZ2Brl+G78FqUQL4K07bHZr
KwUcwQmyKK2cQ7MS99Insm/yV51lrTtsBwsSP2MAgWkPfCeWbRF5i1CfH23/nbTXlTRHJbo6uH37
tdPneFklJMgJi5TpbmIkcnriyO1x+t7r5b433I1raWTR6dFjaHDIk8m9hFQgIhX/ELIkRFYu+Xru
lZKJhaV8pHTlreumI3a5rZbOK4ect7ox9l2Q3pgTwfuh7dx6vENBzJqglaRpZ9mVFP6tE+tv6TjT
aqb70Jq6MeOJHR5yUzwnnn/F2TowWbKgV51BvMfoHkn7vKcIoqBjRX+M+4QxtSDR3goeqlFeVbCI
oUxxA2YZ3RlUD/bafWV1pzEab1vf2VCh9bXTkm+YVFBFEPe9lBUZqjOuwbXZ1B/uNN3pHQnftfDP
fEynIXFX3ImrQHwYlb0OTNUj0M2byi1BRgQVF3QMOokqTg3d7Zy49kIW5YtVOPT0NBMQ8vjKXsz3
y6hRmYVYg/u2PNHZ8x7wjfQlvaVAG6o069A506502vdeYz0wI+veRsQWcvQz9dbXhj60WFGoVkCC
FS0kZaMrLSJ0b7I8ZapKH5OWN2lGlLGwodkXIjdvW6da+6zpuNAkO30LGRGQxnRlduXj2DyD/Fs8
c885ys5SeYKjkBuFRgOcIlN0Mw3S3wcpsEnpNuMWWynQRzcI/NFGgsEpgq7Vqg+0ja1/QtbaQiVH
QTKt2zyt54f+U8Nh96OHuiIMUnFXBBaKCC20HmORlGuBBoTckBmCSpB5x/buK52IRzMz8YhbzFNI
SIBNV4QlZYe4Eu46J48Le7P1XPZ2QsAQj1sW8ZWmIsJZRAjjYrzpSy3OV6Hnj3dehWKljKLLGM3v
6u4lMtJbUfC40dG+dGnOWDAawbpwvIgan3CTue7VKNh5UM7MuvcUo6SJPBtMD22N07b7GK2N1KkP
QXuTxd2mUnqLGVVOWTUMXuh0RFSEVxnKnVQ4d7y7xpait6smQVeBxsdH6yMtwfQSDG+NIx7L0vqa
6y7OZfRBSUZpR13P84Z4hEcblg7RKUo76NWrQQmMCiU1SqPspKM94r+auJbIOKhbG0kfAiWzJozC
Sj8mlEtV4j5WdXxmsHuTDWFceu5eHLROTlfqC1FH1sJCprMgKEtb6oHxpo/JrYdWig8P0VSCB7ZN
3Ye8J9l6zqx2aQ8eO7QXrhzFzSPJQkEPXV+2PEwTj54Lkd9E5r4J2WZjKH4cechcjIMO9Q9AeyL6
lDgwpQrISO4HNabGhF0Mw7iLp1rkBnXUCAq0iLKI0q+TTdv5Ma5DGruU/qBXSgQTScIcBq8AOqcI
qYKmNAvGOH2jKie5mxSdKuFVK0Ww5opqdeFchxLUTlNqX0QGD7HnHDGsfQN1a5cEJub3yFF3WmE+
kA2ZL4OKTwNgluoV6F8PxleH+XXzisJEp9tVCbdD1cIDDig084zvWpN3jG2ZHhJzLnVjQteQhcWa
daQheK9t/BczJ9H5nxbQ33Y7FQ3yVxNRl782/zkRqZ/6eSIi4RdXy+f88ksLKC4YBNo6UVufbpcf
E5FiVvgjmkBd2/rXHvljIkLPSBoDMsPfJAwk//8dDYOrBuM/qBYVSMZKykRE+KP1a6KLoF8bX8tk
XGzsX+kOT72Jgq9Oz0mQLcXc3HjR/MS2wfPcZtsh9J+0OGoWOSCPjfbZD8AmY44YYu1YKEt54/Tl
1geS64hDd/Jxb43Nau52dqI9l2HIoc8pFl6MxKc/iXaipWMzP7jGPC7SxhlY3eZ39HmUyHSIychP
fcaSQ0C9pQF/DS3V3/luQFi1suz+GmWXta4LLebP9ePcY0MzLessWBB4kLPHQqOLHSTve1yBds/m
u6eR/112KQyFOd7l3sgRNpISPmlPchZsRbC4CSXJpIL6V4UzTUdNpFQH8xyNBVEQY8CFwPTL/2g+
2Gsgw+fmm+yNFWGIJubQmEyDQJirPJI1paXWNz39is4rahxyJAj4sKlBcFTWWeC2csUROomlnZIV
ybpsoXuucPbsZWO1/qsRU5AEdUToR1T0ES4+CinxfdeIDqnoawV1lSzTKEs/KyxN6qTQp6V7y+yl
sXRiSd6Eqr0kOp0CzDmTN31JKWZXEa3FucJbpaijRpVnRqpGM1eFmnntfC1nycreEeIgVO1mqRis
Vl2xo0+NQKDqOR1V1Im1SxBaSnlnQotnpOo8qSFGyIdL9QyHm6wGv2sOEcGI21FVgRaYl5pVrQpC
tcgKtkbafZiqPLSOalruVaGoQbNo3/LxkbJdr/F+YsWu2R5jVUUqdOe7r8pJO/Qq66Liq4pIdU+9
OrU/dpJdexZGDeOz4FRDBejDFW2Fqj9N+8beYo//nqtqVFzGmLRUXSo4Z3jgneP6UGWqHiXQC3Oi
YDXQSZ5qKBZiYwUTsT6bWCmlQgun6lmriWi8kkD/RaMaYFtPk8dBFbqGQye3fkQ6H9Gu1rbCIL7m
wwN+bOwPfLaCZOKImFNhbdmrUbDoqjw28SvmKIjWN9D5FMUnJrJBMX5oIB04AtGvGZYMjX8lxbQJ
cOsbz1x4kNDlu2FOi3YdkYCqr0dVbIshXyYfGc71Hb2F5k3JwLfCPNscW8QJ8mgxUUg4qkwzQsrH
oK0KRWCVMFlUPoRLfQ4IwoaXxzIxLm14Ly2snzJFhAWKEotyJIS9oskSRZi5MGcGDFqiqLQJhQoT
I/Ta1HmIBKp2Uc3dDcGUlGc4GOGIE6/3fud8jyDpAIM2g2LtRui7QfF4NoQeYfaHTGRfR2dwt9hQ
nWWWS3WI+Gfein0HLVjynGoKVWhz716HOKwhECvFJBZQigRYfTOhGPtMG1eGHK/bWXp7DxqyhI5s
AKrrT36yZZ6poSwJko5p043hAEz0vUnBsOOR2zmAVUgvug11pEuuYkE7xYfa+vyKXFYVHZu7GMo0
hTr1oFC10UIEoljVUfGrBKUw0ijOVRR+/JZ4iHidtE12odXHC1d01mJkIDsgwWFGhijGO56/+Y3N
maV3BcKR+roctDukx8oJnMaHsOh4lMuQxJpp8PgnMfFNGnm+DJfOIiiH8CY3fGYBHpebTj08sx6w
dqkXbSs7Wif08W111E23WSirlQebQ1+KhE5LHBYie/S3lTCm9ZywuJH6kHHCuNN27KZkHTSxtYrp
RKO6NMHaLe0PgLV5lYp5j+X5grj2SK/nibizfG0Nugmjgr/b0qtgkxKUvolcW98iuCK5mNiXnemM
9ipBsRxH2bwM4tjcmpbqIkn410Y5T605YPzICtgtIEfVbcAppVM/sh0KflNb9vYu6rGtdXBuWw3i
YZHkLLV1SFVJkeNG4pjqFp83/D/gj8JC/vuocxv332UTv/8J/q1+8Me0Y4gvgjog4rV0ZJuqlegH
/AMy7uDBYKIBfP4NGfoBf9OQwKQNxo1bkRbMP8LfgtQUzwPz/FdFwt8Ydnxlevx51kGI4jDq4Dp2
HOYAB7vyz+hPZBZkLHcWcSNlXVfuScvIdYZ6EnqT6ytfJOnF70wrXXE6ALnEar02iK5wWUyIgCKu
PLt0Za1xNo/a3rYL69yl2rQazKY4okvO78AYhks3iupUxG35rQ3b4YBqM70TxkA3S5n4xbId3e+B
GWO+E16wMRIJC+nSnfACUIOMXOvZFORQLYCQtqlpDKsZNcJbD+D6oVnxfGs2TtwRRE0CWDEZGVSo
D87q1KvRRHzHtZsvEdyn13neBfcms8Zt91kPrCd2Sldw9lkcjFcO+wHiD4/GNMMtQpMX7PS+Q3UI
jUH3MAcMRcQkgMP3SsNDtU6yF/aGz9pix6mSdW7HdfKgJarYuO5TSo5H06nlYpCq/NjuyW8kg8Da
C9WNPDOFon1EWE9ytNdW9cpQJIDeS98+9oofCD6pglyxBtjDIRC0WpEJU1xY1nYymmQ/RUCEqxJN
zmw0vbszFSdRQk60Scbx75CUfbaTut17tRf3t3OC7W6SdjFby4gv5nDO/WwqtN+g539OBGUa/u8n
guryXsXfwz9JUlI/+PuJ4HzRPYMr+DdXs7Jf/XQksMZ4PiVmLB+f8u4fR4L1hYwj5GaIuAn8V2F7
vyPC5hdWIsuCw0KR9tkL/jeOhD9jxISFI9uysI75BpPBH8+EmB7sJkLScjbQYUXM4jUP7bJz7PSQ
x/lQ4a3qZ5dZWuiVSblgMc13HVBmCLZyskg9gqNVlaC4LvX6JXEzw7jGcIRlOumRQy+avvAvOfLQ
Q2h1Wbyv28m8J3pKs/dGo0sNKYfWXvLACg7p5CAVMlOkGHexi0fkSIF31nzzi9AZztKqpH2Ddmzb
0xH2HacEm0wRw7x3AkR4q6tvu//5xW/rqd2LDLkUwC7IxDpQlN4sXJTNbh3pR1NRfrKuE/JdCqzO
0ejXS1nLdt3pU3y024nCrmCuukVCF8Br1xBwA0wTgPS4gnghOJXuOjJRTU/Fi5uG3xIHNw6ZD/my
cuzvVZt/d/ySgoU+r8U7ie9LT0dmXYfDvph1e9OmWkd4aOgselOP4+WQdgb25IF5DrD5ydDiauWn
Q/BtjJ1+11iFuY+g5U/0zQGUGxLEt+7G/VxV9Rabe7mUPSdLnhaMqx6jNBMN+C3AOx9utXLggZCP
BeRg5UevQzhsB9I9T7Y971PBKhCb9B0IP9q6MRpcGSrFyeQlcH+QXm6RrirP/06tmbb1+nmXGfjz
OKu2UwAOqjV5CqRIXA7R918FDQCrdJj7hevY29Lw0di247KN5HCVWiNenoiR2s9Ux5hNI02iVeYF
d3l6B7Vq3RaOU3xPdCEPeR0XT0lPGQMQIT0KfXL8Z475JPFVjdJfn1qnLm7+1+Utbqo/O7t+ZvP9
L6AjOER9KEUf8urfZxdslsWQgyfER/QCePNvNt9G+srPkG9keZx7P59d4ouHKhajqorP/Tzx/sbZ
9SuXz8mJJNLzBXIDODLVR/XzNCNNmFr8L+ElhAVuTNph/m9J+r9WhlPvSDqux1+EBcdw0SYoPu2n
INvcKHW/yqbxKkzdPQ+9vxlNM5EbNx/Po8WCBjw+NduZ7+eaRCNs1kbr2XcmoDWVdfAcZ1e6fkPC
VlCfO0l/Mf45y6nPjqNRlSCabgpXOpGc8xpf2LqsBr3apehs1lJDOjWONaE/JXW/A4H/WxmJet2U
Q7K1HLzbRe9cJ4wuhNMzvnVlKJHrhAQ2hrJMNNrLh7m8K+QcfeS4NDeWAbNPIhhb/Zo5QJgJDyL/
b21U4L3rSOS6dQcvQYFzVY/1TcsaQyrLTDSUYS+0MfpqVcYRXSa5AplW01cD1tLX255yvKFzjIXb
aldd1D/aqXVf+82dTOcTGWePjo30z3NQO6WxONVSrENRnyJCgQlTS/cG5QtIlJwjRbtEyCGt70PU
V/Goo+6EAymng7T15ypJqDXJXGWEqC+SvLsdaZmnbtTfIiedgJEhu0RAlKiXGWzXqOonuten0uFU
9UEqQkFcWjuO9hbAbz7Sw3vsA2070rnbElG3zTNbohyb8QBVBHrE55wjaR1Ygu465HfzLPeUPd9i
0cm2SWEXK6pw9pKeZ5pgjH3RjJKSjPyulO0xsljDtEl3vk19ijhXhsMSt9ZmrPiqjgayOUFQn4bM
DRZlP1Y1Oq8iXhiUsSxSTmtWAhLkwsS+s8VUkoVDQXJT4MkDfAdbCwQH6dSea6fX0F7IfZ+O07bM
9O/C6d5RT3gkRTn50fLJeV5EqR3fVIWXr4gUjG2MHzigXUM7+Fy0W6IdvqVatJ8d7ao13IeWUz6L
qOf2MEAiwsMFY5ywvd70BR7DBIxPBuvG0Ja5Q7THkJlbj9gsKqt44+1CKe76J0N5jSqMN/BjL8zL
51JHMxvL8WBn+vXMX9obxTnHmTkLA0BOezUb8lC0cV+K+WQF6BTdxzF4Kb35QACtt7FRGErXfqhn
Y8HG+9ZzkXctHcAiT082otcwSIylZaaAAKn/jFf02YJLZ40wTr4owuUgLsQLUakVLaMZ3MGe6w1h
jffe2DwISqnHMB1XdkSCUa9iSOMJCKKPj22Z7tkAkML0xmOlRfeelz9olaocxbASVh+mOx5qXzuM
I6pEMIQDI8U2c7JuAdy0skqj24tOtLdiSA78fkc70V8saE+owowE1VJGG9OqCI8VY7obtdx8LgfP
/dp4JXkR4zQFNFYG6e0YuLRzjZkBIhnQRxW30arWUspjaLcjinbC9GNq+mrgsTj1lR1fdUIpVjPZ
B82yQw3IEwY6RKKt31IKVwfe2+xAH0UkB2oNRoG+ca4CGn7W4Nk92Krf8GWmh60nPPE4eaoq1rRv
W52SApiqehX2VEsbRnLsy+kur9JhkQwlhHvVYPn1xVfHuUv45Fd1B0Xjjk1x8KzMOQdVxJs9k2KJ
hP5NEG2Pk3qKeOR8PiP7XqeziPdxQmM4hacEGoroteAmbcs3itSXCfCzl5AjEGj6ncpItqzqhaRI
FEXJrk/aD6LzL5k9J5swwI2F5/nZTLoNa9NLOWmLzmuIRTSYcYIBqq5tCkAedzo1gb2aJlTyVO4m
tfmeO+24rZCUJ0X/3APU2qKltDvuXpoWBlzyMadY/gL3ySiaR7srnmyjJBNjTO7GbDoV/rBra4MH
fEiewmjaxwOP6Die+yDfhjnRiHrm3LbtfLEb53mM7KsSrYAn+qdhlkQZlIfYnftNL3wOC2x2fBrQ
ounLXKtmjcTZktYMGJ3VWCC8mAjFkQmWDLhlYjt3aJN4BzOCetHM3+PDP7QWYVsU9NA5HB3roETh
RkJDHM/trkzCJ5vupYWly52dW2uOG3DF8WwV/PZ55J68ziWLMjwY0Jp+1bP+lsvKSy+kju/SnKEP
HRYVoOmr5mkrSll3XQZZiVjzFUnmgfd6Fc8jwm/TP4huumkqnX+maA6Jru2k7bwEerXvCb0UbX8X
CHcFeDFvGoD2RR5H14g5PgIdQo+m0RddUCRsouX17WxbB/V9XrSgb0W5ozSx3tHTNZ0MMvgS0zx1
Mn5xgpLMQnqTTbNsN0WO7aMUYrjGGxstaCm21qknvxZED2403bvoAL4gmnWtAmBISonGfAPT8S3O
CF6gaET7OlQO35fZyNYTmN7CEnH2Tq2juzKtPMIqOZnngZDtj5/ms/8XZZcPKESGFVMIyCk6oT+O
IEZqG9jaAu0qSR5IsUj9N2H/XfHYLy/xyw448S120o6X0FUOqHvpqsuYXP/1r6G8wP/GntQkpX4N
R2fjNSzHtn75NbAsTMTMxOFFp93Pcy9zexrHezoZ//pl0F79x8vYDK2ChBQsW7oyUv00sIVlQrdh
2oeXLp/XdYKm3FRAykMnrgfMq04jyb36rT/qHwDE+ks9nAJAzq+ECvwJAfyzJI6kOKoyUMSpyf9T
9/sDACFEjrGd4BkSDzGs/7xEuF+IZKWIwLEdXaU98xf+IIApcae2AjjF+P+Ikv6PJYKuA2x1qJLx
xLum/ssS0XRDV+fONFz08lpSyjehMvpb30ibpQzgFziH31Dp+35ZIeBwUqtzu+7SiISD/VHTL759
04idEfCVvCL85a9fz/xF5KwKcf74iuoZ+ekZMEdPxpxS3SVBhcUcp1JcpqY0EQ+FZXMzyNI79K1d
kZuGnKZxNk4CqVoHY2CjF2q5A5Hev4ymb+4di8zaCdZpZTQlIhUvOtklvLJHCX0ldQRS6Yc/al9V
10dJWjd1uSimklAqvRXEmmVG3lpygiK4isOdSJ1tQ53jxrZdTF0sSdtgGgtctzRwupLBDHhELkCH
wQPIuu3iW6/vj1gvqSmP+5NWB3xKSUw1HUorHFUrMWGRcYabgMg6pgJrV5bGdY+exvSIitM7Bo0k
PJZo2jpLe5AwfiTFvvSzRURstOvJ+cI72WzjFqIUE08U2+MicsphwzLXkBI4nUviKe/cVvfJprWn
prgrIc92Tl2RTVbUu9qJtPZmrgT/ocvlWF6yUJxa1kmKAmZ7JxouKXa++o0O9xOF7GdN5KfKjfdj
CqjlB1eanl5Ns/NkKJM3xnj03pa1kVRmEjr6jmfOXg+2OI+VOCB6wxVYndpgWKPz25M+fa0jXSwC
7tlxOg3TeKIyr1y1c64vQ3s4Nr3+VBNQKESpGO75gUDzcIHBh87errgu0pZwNrCZOT3o1G4sxsqh
bb6FVa9Hj7w2YhdgbLN1k7gPQHdUVGl6uDHzioyjbmihs0wkEuQTnWh1J9nGM49Z/u5rw0VE3m3T
kX5gAC8uokhujCo/BFl83RXa3dCj5tL4WEghXnsxdru8fXcjYCvDSW7McFj7Xd6hIzNW3I0rkUw3
tKRznJMV5AxiO8h+o4M1tVzJuYFdrizv5kJc50FN8vgIrddmaX87TtEtXMYe9ejKq7yvBJRiL7fl
faVr1jKJ5UeBMBTqAq6uACxEgymIt0Pc910fwmPROataYMTmBNubuWp0wEhFqDO2/vCa8oSzsBPi
1XIijex15pIZMAbHpqFb2CbMYm4R+WtXXI0rc9D2PLY3kxe2iyCmbNcSwab2rUchG5SwGk3QKe0I
FFJOu5TY+b3Mig3RFgjSJ+2QNvN9owyMU9ZexbK8S3pUBwk3WhcAYnae+ep3yWvieueyzqiaSIiA
HBqJH7gZcvC+3tt9HjP/XHpKAfSX+BllPItX+fYqX//z4lM//DvyT7waxePKMk7gyuft9vvFp0MG
mrpPJQJdCfBJP6NnzKgonDxHhaGC8f/74rO+KPoO2QRYvepk+FsNPP9x8SGgQlUO7QP67zu/zmNW
ZGhDy0J8FVGb3FyN4/NPb8ufjK3o1v8winHhIdOCW7Cx2XDv2e4vV2sXYHsN7LG76mZ7bZrVx1SJ
qwwHtS3bD2JRVpLQ31Uu0AwYWrFHs76TdUJ8UVUtHM2hY3qwtoWLHLChJKGLNqKp3rUM24Xpnzpb
ElfSsnfOUXYxesNOyUJta+sSUtA9kPreI7zGpW5HeBuJfZvmZjHo9n5UE/qA/8X6HNohNt2VUJN8
bWYBqXFM96Ix8YWriT9Rs7+fim+EdYAdqb2AWLL6aKhdITS8i1u52jpjjfDVPkG5G8ktasdIRtSc
lto7DLWBTLI49qwkZFUAV9A2rHaVQW0tGesLyaXziuyI+4DFxmLB8SKMnzMrj6Z2H4MlKE81JPts
RU2OIhXCYxVW7Z2LVVVjgbJq/yVloSqq7tCqDctm1RpT70DWFZrvWa6Q7xxq130NDBSkrYsEw9cQ
3cavrdrfGiXLYaHLwuSiseBR00Lei/lMFfjBZwEk8vEk1EYozf6cUebjsCrKqt7RXuSyVPmPidom
5zS7xlDL+smi2bJwVrWp9BnJQWjivlU7qam2U2sWd7HaVyO1uXassJPaZW211Qast/igKfNg4e1Y
fMkrQawTQlIUYJio9Q70LS8psn8SlMAPLM8OSzSX7AVw8TZS23XHmu2K/hyxdpfIycIxeYp62udz
FvOsH06Rmd05amOHN30yWeENVnkn6DYlq7032xttlC+O2vll69Mk0DyX/PJkXY7EdM3vJAauCWjD
PGyvrHQ8VUOC6agOYZAnEtraT5SBNvEQ2IGnYIM97DkMVAFQ0yYbjVHQreqPCcjCIxRNAGF0Un/W
gDQalyz8FJCjB+zQ7extVuCHQkEi4JA0UW3ACiERmnsfAZnUVQd2EpMDpucoZwx6fzSFsHiza5/B
topDTBvGSqvwloINJAAznUJoNFOi1laozZwMdzowDpFNHhJHkB27xlwG4ns7KtSnU/gPyaYqAdBq
wI1BhxDbB+sBwChsQY5iICRdYUm+QpUwRPTr6BNq6j9hp/wTgsonLZiwZPbx1agwqpoxY+XzViys
tAqX8jcsq4xWIsJAknWavm5noukKhX6VnmPCbnX6EXKNxvbJXLS1PLbteKlEBbiO4GBhWMpjZdbN
DvA0WZNPcCK6nEs4rYqtMdskJM8+EnOTK1Nk1bps6xK5X5xdXGQNWFaJjKE+PlwGAW7XeXqUgfXq
pvWO8w0azcCmarCtTpl2ClKTAOAMUDx1bMitrAT1tUnvBVYNsqeOHvahp4IK2elF0FfNybKUiViR
pdWtCBY6urXLgWjwj3aHm6IjER2bGEa26RDWwQ6JFbUXgPCsyCgdt5EdnfVMf0plT1SzfhjQnG6L
McWjGBD9E7c0rQTO0SCLi16A2H2rBs1c4mhpaCSph/w+NfJh08fW1iIPcmnNNA5E3gxoFsfyPHvp
lWVCOvjNjVE7DUntQI00e1Nfba848vamEXTUGDhyn039g+ptyM2cWRcx2KqhJ349DW3uc+Z0h0F3
ypdCtBrnr/ZB3DPB0x1OQl5OrGTliEtpZewG1Cn04HVRv6XYe9py9EdPQc0rmF12XxDPhZxU9w8d
PrkDgdZXBfFjmIotD/GbGS1E6d7bdcl2LxJg5xy/yGoSQbCBvb53AkJOCnv+OgcFGRQd0cF2F8JO
DOOmBcncVnpfbPFYlEsYYjQgvd19lXjJN6M3xfMyw4nOrRS1O9GDuKcDdjovl6spL5+dviJ/mtIQ
l/ymprzok3tI6+lBj5J1HxM/UlbRQ5eZ/8PeeSzXjWXb9l9eHxXw5ka8zgGOt3QiqQ6Coih47/H1
d2yqMotiqsjIuN3sppIHxwBr773WnHPcEgLiEF9EHlIhxbVX+OnEaSaGVS7Lj6R/aB49/eqhM0vF
A/AzLzCNJ9dwYDAu+NqDOjrtja8a48ruJNqeTKU/OSWiSPi1T4JfkMQ2jtAWDAKER+/OiFmG6TaI
81MroHjjvDU4RA11s/p4F6D+/jocfTnQaTz27zcBrTVnCVqBU5amR0LJ7qhKFzvLvlIuUcpMDj/A
lG76sVyldrJp1BBDqkooVL6nUh0M4rljJ7kiA/TarOSlRg5Bh+eKedpL0ZmcTXkE9Nk+mXLAdu3P
fd1vNjC/feeIrixF1w2i9hBuvD1FG1lXRK2T5KcB51Uw3QpdUVj8tJI/j/8TvBS/ucg7Q55oi1k/
23uIxYgMsN79DvSuyylLuv5UBqjKCXPdMjTQGXxVrBuQ1QFS9Q8ScS9XsHsZaMlb0tewokykpfua
fDXHGeeoubvqQs25yVmVuqLnSMkoTSd8zzVIBhVC9VMkRTsO+HznKs+NmdGFmzD8XBtK+pS0Kbnh
QbSeB1rrjWIuwzRKlkmrPUu1usJtTDCEVpmYdx3FLSoEuyHZaixFbG1Cc4u59gVt7xMnq0Vn4O8Y
rfQ4zRYqAGuSNrIyxEdsqdliHvG3BQrhIqFDo0WJgi9+p2S31cCwyFGCg5GVHCLNst2YykCoBEuc
Qo44XZlkWcrqGV8l4RoERlDv04MvP3X6qjOsLXXx0ZawR1mDspli/ZG0vRCFNJLdkmBajdnIrLP1
GHnMsKHAP2LYsqlbYgYyZdwh/HpKIjV8pmexls0q88hgOaoF2QtaU60iDdtUp47XmWmmJwcNqmLO
476ymp8+kv96OwBfff9ccj/wQAovLyNnWlO/3nUYsYucf2tPdMCeNKfJvLns05MpVeTUN+HXoMEV
QDqtq5ijZ0evXsT0yLeCNjlMkIQFzZHU+QVi/6NR2A/4m8JVkxnVqutkfZsZhLYFERPA3u7tpVzo
2QbxBxQwJao8uyZGWKcQyaT+oNWvbiAJjq4SNky8QHMskK0t8rJamdn8XBfmkwNAjlkeGSp1pt6Z
6sTemYG21ioecl4kNfBucG6aD3gKtoOvfgdSA3tsoAw46cbMx1vfiQ8WqRYVkC+cENwhiIwn9YYU
jmMShzdVZFxDL1ubU/tgJ4m+YN8oL82qYy8ID5P+Xe/aQoKuxZIn0zjyUNA/SdwTbuloj4omPShh
X3lVO2tLQi9W/SwR/T8WS0Wv1zIWfifvcY1bpCf25AS1smvbw97CaDgofcMyT1snbW+1oTw54Hga
NIFoe58rBHu5ZS4xLh6TLid0JjmTkH6wcnM1FLoXWhHBULnlqk50lZRMiid7XhbNtDRTkt1LNjSF
GXAu4WHsJedqqNofJML7qMnJz+/wW7Vd4poAE1TkWERvHsxGWwOj51dSgox4wJmBGTvUpEMWhG8u
UYb7omihukQX4ncYWRcrNZH2DLG9cAhQwqePTOdWFcEEzlanoaewaqb+sGpZ3km1L71OqmIvTUg5
JC1zjtFKOVG5GBSG1w0x/YtZVVYxLAPMZxdiBjZB3qL3rw65jQCyJUTnnJZDuZlSa6cHw75USayH
XsZvQ5qkO8iomkvaXw2nhNR0Yw36Y0fLxB8uprG0oEwN9ikbV+a0KvSNb/X3NGnQoctH06jr5ejr
hzgcGkK4fH/fqb3lNnidXQtPwHroMYKxb9gUE7jMyWRo1bMLsQqMhhYukt6vlU+Wtk+eVOF5ers+
qKEzYVtIOrqo9BSbY4b4auzFaPGc1EeSFH4Kr/9rbRCTi18HKL9UBqE6/vV6SO/yjMpQFC8QCvrx
GvxHHjwM+s/Ozn+9kOit/+VKeNR1FQOWZWFW//VKQwMlIJb7EfrBFCzLaCRYyleFB7bYhoXEPTf2
oOFIMygws5OkaBsLosUQ28VYMAZe10Ug8AMX0tWYa8g5tO4LKTPnQrZuUrZvnHpIgVVvRiaXXt4G
K0yvX/NYv5fCtLwOOubxBrHE68zoxMB8wcZiOWG6Rd3hr/NWs+4ZJ96Uc+rRSdl1GlZQTUUrOG2N
0jkPSbCvWbYtiVRrNedhkgTJzR1L5T4ra2im/haD9yJOR3vRGtnTLE+Gmw7BYzU69b0a+GgQGy34
5Fv9td/yc6F/+6WK+dibpnxiIvCoif852ePXcP422T+HUP/1V/vs9d8tHLKUskcOkonI+hu4JItK
u/ub+yFWpjcfwHx3/xHJR3yPGkwnQ71EOplG7VIOJ/fji/x1SiguQqAxW1LFYPrz67c0Wg0TVJ1P
4UD0a5/bIWNPcheN1ie/hkh2eHOPi+aUoVlkIbDUOmxNlXcXmuIIC8Vcqie2Mc8sat5tuiLbd4kd
xL1f5Iv7ren2h2/XkRt+GZdPjHy/8UQ3G2378QdWxdzzg8f69Y2+uS+cPiLwMKCMtCtQvC4Wpptu
nV2R3LQUQTArZc33vFJcRFeLcOl4Zb/UT/nzx+/C+N27ePPjGu/GpqnfpLYKWOT0MG7VpbVoV87F
WjCyWoTe+t5wD6aXrZ0TKY+b/MbY3KL/XY8b6t5iXheY/D1aZ57jSYduk6+bc0jjfhF4X4pFd5Ld
aW1snW2xHzb1Xba6+fitv592ve6g3771dztoSW2itJQi7ssFoqNV80Ii7a3i4eD2fC/04Pytsl2x
vjwflt0WwPfoxjvgkrv4hEnG9Zfk6Xz33S8fvyv11+bnXx7393ksUVT0tWXyrsKtswjdeUNy1m3O
aAVizgKV0oL05EW6tk/VRv1KI2358fXF7fv+rnr7HL2rNpQaaWpKdIvyXCytYdjPUnLqO7n4ZFES
VeWj67yrOjYe/L6f0+nEnnrRD8/yuBnMbxOmVBlpcLn6+FP9vsb9WR3eHyYlBB+aUcUd6WVw3f3r
Mrj6v13g3ZlPGwFMmWT0nkC2qjF9QOezafAnP4wlHsQ3j7uUlXZuTTxoRXlCOb0qVYgH9ie/ymff
07vi1igpBFcrbk+j+FVgx6NMcj/+pj77HO9usA4jYZc32XQa+tGNzBN8FJcZ8McX+eTust5VJdMP
pInmHKvBaLq6ky+TtD1rWudaQEvjQT31ZC19fMnffi4DIwSWDSiM7yE2tmZpfhm13UnPftTxKtFC
mnzrj6/x25/nzTXePTQpaVlSFerjCQQF/furLPukq/DZBd6VxDnJRi0uqv4kU7SRvCVa+snX9Lo+
fvTgv7uPw4ihj59yH3M2WOD92PWb5MgRwd3VbrhEfrPIfgr2/+sGR+jYP6w14lO/eXQU+n9Kq4as
UQ80hnOqKrnwC1yoTwhUt/3iQlAb/7AwlpmrLOwraXHdLsWqfnmsLtqOUzv+yOXULja5G64/e3u/
Xcjfltx3N6sd1YNMeGh7Us5iIZcWWM30ba64i2Ste/f5Ykf42f4HamVig++m/bAYPqleqihPH/0o
7373XmrMsHIm9hIeAGePkEbVXDj71Lt2TuZBW3feI3DiRU7HdlWvyzXxrp9U6M/ewmvcwpsfSRo7
Sc+Hsj0BEVmMHp3N+LuxIiBt372Mm3KZHay1tJZ+BI+aS+rtGajIy8dP1+vB64NvwXp3nyS9lulN
zq1Zr8YVBPBFJHZ128S97bfjdhuJTcsJhNm9vCq8bFWurQvxUl63DLfAhr6mn1TK14PZX97Pfx53
491B0ZYcZkM5JaVaEqi/hpg+rhDVH6K9sngOtpiDXXtbbmjqHUbXulva7A5gNq+T1U3kiU3CvzcH
/4zuxRz9zxav98Sg/mdW5ekpe/n//w+9Gv/FTX8/uOdP/xjc423B76KQYyF+NZG59qdlD8UaU3Pi
3DWDqb4q2Cp/WPZIvrSJj0espr9GnfD8/6FYM7G9YJJh3I/E45Xj8ndsL38drGOrwUUMv8UAIayL
N/G2EFpKoKRpbRRn1Wa2ohIojGh4mpYjER0LdQwUWm3JKtWmbZ7lKiiWPHzMHGuHon1lg8gtUiIC
umobG9J5lkjWZQbjprFVHNLIKs6oYr5Msv5gO8BVyISeFrbULvspuTVrItLllp5qEtCFLGLragyA
Ey3qOS5l5uCmjOvFwMiijPIJKGbvEf3ar0PwBm5ioCfK5TYkGJZBXMwEUgkmT7GD5ewXiOEh3W86
c8g8yYdCRN7aYprwq5DcQwdrbEev7+W7XmlB10/LQaXP0zpkzZoyUQNGbTybfE7YDLxu5QhqRQ8n
TB4HAkny+NmJHHs5+WA8ugxleDrheMh1f5uWiHrkbFwWObRVmfHU3jCk4QCs2BGpSPQP6vgOWxyq
6bTlGMaIvCB1wBCRCcOsr1qzu8Ulw3gqqe6EG6mslIGWxXDQR8KttMrvFn6Zd14u0UoEp1K5Ts13
mlTdsSxj4pmnIl0xeVxjb9wZufoli/trh6ACIVI36LsqG0uDxjkl0fde0Y5BPp9mNevdztI1rP/1
Q9pKrt8VAj5ZHkjDBUwqkyLKodKVZjx3ReIzky9QT5dtrHmpSoh/a14l/kRrbmgGT52DZaVn9goi
ynOlkoCnyg30LgJQKmldyBnQz+iMonCvaQzfKa/7quee8bvmUkUmyeEJX42MV2CpC40Chosm7tZV
pR0tI0xWrVNIxATHBd5FWqWltK5j6ZKMRXOc8Zvy6+F26GzzGhX0Eb9VsawntpV6RoqwmkCX14qZ
UE29bZYxGfVEVmFBCZrb0RnDVR/nx0D3v05VP61SopkDXGGe0cpf9ApDqlYxZ0hjb6pak4Z5cBXg
CVFG+urBeKoa5zvkkxIbTsN32JjboIrAIJjGoe2ac0QPW7oqCiudX6YxTTYWme5OUn4hqaUi+QZW
KGzQY84QZxe3zmORyNetUX+3ywk3KXmhc0ByvemVzbBzWmlVy+q+SMNTVBS7MW5OeZFe+hwbB539
DildN2xN3/iBFadDRDnAX4k6+qDEZ/TzjWrOx6BClKgwoVwFQqg4aCbX1aEB1OtBSBlRJRCHol1q
47ERUsesc+5yRHbMUPe1WqObbI3tgDoSYMKlm9WN30cDgujuimJHo771VNVgBBmxr/bRWmpNe7CF
+DLBa1OgxrQUy/Wn4GYm448EDASboZBuqjWYUD2z8rUTKGgXhcRTY9/MTCnYVEL+qQohaCEkoVLH
nZOXSkz0OILRjFODjYLU0vMfBYrSTEhLyaL9MuMvNhSoxqOQnxpCiCrXvrWw4vIbU1H/AM75GI02
ZUKWL1lBvDskPOVM5saLNlvjUp6Hl65hFpKZ4zVBQ+hk8v4rso9VpcsPU2QdiVJcMWJh3IvYFQNG
o5P0EdznIwGyyYD8zp7WvV9g0KsvTpTuZTNezUKBaFT+KYYZ50VmsingF+/wM9/ZkKm4MlN6R79V
ZALCQ4NswpkR1rIc43FZSepx5DG4WIVzjZZ0M6Y6gXkpXWMrVRdqGbNZKTRCDKwWQZCFvyNpdNeJ
qqewIq6vhcy+MNN0qdjFj8B5juDzNa12nfCdsA4orhrkKcJH+5K16koOSU/0e2YmpS9SOecBo3Ef
r8MK0U4Up4iCW6C5vJxtkx1nGOQDG8EpjLH/Yhjq97qk5Et+0GljMPsSBB0AAKEXQPHyOjvfOCNK
AuSmAZwFmH0SsX0QFzF+MjGxvsrNHG0px4tgBMIT6ONKCqsbNSJCE7aeG4RmB6RS5EwGzTNTfVCW
TDhqw5oXfVWxtWdWiWrspjPGgy43sStpgEvAhBhJecJrlG5LZTgH7Xgtk8zO1HzCrmHti8rZAPgd
0MdM3Wro1JfE6chit6wr/CwEFaakIbxuI/7ZT+kcMD7dT2El/40Okr98s50yyFki3NtkB4Rp95ft
lKZYmGuxC72j2FkAbYHIMh9njyMmor9sp2jgqjbFRkZ2SFzu39hOMZH85dTEK5GuQgQDKeMYR8Rb
+XU75fgSkzjbLs/5SBQ+KOganVuqkiuZ30e1RhxpXCv4SGpEQgl5hLPRbitD+dGzMELZyYbdIJAg
bCtir5W7TVAESwZTaMNqJPNFzjBPBAnFVvxt8GvQriQXIEKHMJOSqLq0sGvSKpucC0rFO6O260U1
aBO3+XygUXQXBC15kdG9H2u3LMP52VJ8yS1GdhkdKa5LGT/pLksR0OiEfyWOc8VqPIK/UV8Uqe5W
AZHct0DUNhg09nE5Tit5zJdSM16zUYFpzYOEm/fUCwCPXq0N8aj1PHOZVd8QXorqfSqOjXgsg1Zb
J7ITkpjbPE/i0SXQrl9a4nHWeK6DqLrRnQl0i6Bu6fWiqetoC4bhq6KEljuMAw0bkcQ1c+p5rR0j
0W6imoxMMb20poWMIsF/rTii9liiCqURoLyMwgSzeueIShVTsmZKVyxqWCSqGSVpPYj6VolKJ4ma
p4jq1xHU3VEONVEXmUqjIRK+P0omSLzrovmuUkgtXq4TlTUSNTZUmqewy3W3EfVXpxDHoiJj0kTQ
aaqLQlTrSdRtkwJuU8jxfheXKlOOlajxsqj2kaj7OFjUNbEvt7pYE5Le8WwWiVKsFuyFyDtm/TBZ
SGSxogBwX/ksMU3RXgaWnDYlKoolqBBrkWJE945YnXKxTvlixXJYumaWsKmaHlSWNLYIX3WxxmVa
f81mBh09yx9XHslES196sTLmYo2slAl1Kqumz/LpiHW01+pvilhZ0eSq20h4P0Ips5aV1TnGcsob
kp5npFV4Req4L09BL1m7UjhJxldTifVqMNFKcoHw0bP5sYddb2gQca1VXY6bViO/09AGT/PrR0cf
QheZJFaQkkswuC874OIDDb3O4Cu2QeVJWTjfaWWhLHR1GgBeWDd2Ze5bZXpJwyrxsMRdp34Y7M25
X84ZnNlw8BQnpj9oIgdDHfE9nktn2xbW99Ei6Fiz58YzeqfxCqW5QvjHV1wfAYvYHobRcldYbGqZ
vi+qBG86+Trc4Xa3IMqUvxh7coaGYGL07f9IS/+CgK0jIbWVz33YQWvviDuE4LGvVBCQs2xWm6BD
c4nk0vLz3RCr8EgQ08bkwAmwTgtGS0J+PNTGiyz7yW0h6yWyVBuDqpKGCIv/WZ1egy50eo4frE7h
U9M+/WZl4q/erEzAUE1alaohO6/U9D8V+oL6ximb+C2ZeaTQ4fz7oK8r/yKXlEVJLE941GRe8N8H
fWJLVbbD/1bu8+d/K5vUeNfJYmWCrMqrsEIaJOJgVPt1ZVLFxeFrpReZugVLBwWOArmGwIVg3VbS
GagYRRbBeJKCRawne1NNZOOBDmy8frRRyAmzrHOL6yV1QUPbIpyvBFJJ5ba1jZ12BCn7S2L6NgNH
qixDrTOgeGfg/tgY4KoElEdDo91A6WHzdJza7sWC3jNA8QFuw6EUrk816s8mYRUBUDXkUgWx0lHW
bWJoQCC09g3efTjr8G/ipYQqC45mfzDV4s7C/TYIsNBU69E6nNWnFOYQYR8PodwbK8v3O4IokIfW
aNNcgpSQe5rNzhjRgdtwjFrBM9LiZRLGN1DZS3fk1L3sSwCoigivhIY0mAIBzZvbawKVNAtokpSD
T6K+nR0t/U4UZ7meVDRVUcBRQ5r82zoteMy70ZMFkClv4mMiEE0RqTgkWZapG5aW4VpjMaHVsZfk
n+1CAXkKoD1x+JOIrsnZHhdXoQBC5bazU14RUUZ7dGBGVZz0aNlcYXmTlp0w6eOLXctwphQBnJLU
/GoM6ePosKjiWLlmjEddEpgqshczd4JcNUOwgh7mDQJpFdm4tjQoV/SJ9jHUKzjt5gbhv+6pAolF
8ipiOShZHbSsMOb9BwKgNQuUllnqdFyw7ZcCs5U13UsBdwuBjjcE9UKPEBBPAsslw+eK5LFh5gay
q8jDB9hZ12OtQ4OzwYnNWrcOBOirEsivFl2hNxBJiGawdTgzgAbLiu5cFDY+eZ/fvaFVITBiMjwx
Ba4YIKhDHTnRFtoY4RcCPqarKNocASTLBJoshlHma8WJHKYDkjCLLUuDswGemRwXj1VcRasqRdXW
RbU3EultCvYZoiCm++DQKkW+qODRSmMQ8UlEPwFOa/LyrpP6ddHkx7AoVro5AvXOosYNmt4hMXrg
hCtIbLbcP2C9f2l61ZVAtQ1ROZEMAL0tN4UEmE81WZeiGlpQW/2NDfCtlXcVPeb+6IOCm2QHC0J+
VkDEqaDiyCc4Sx3pFD0QORgInFs72h+CL6fONPRM9jfcoJHvmhIpwxWuwEKQ6RD/lC5S+IwuEr60
TO5/hMmYeGOmIScX5jAtab6NAJIGsHdWPHaIjytQCYBj1kpubEMFF8P8CsxTcQ4u7NzB0CBB3zIE
WQ+l1rByBG2vJgMjEPy9QpD4sl7/3hkEH3RA+gqtf6iA9s2C3ge+VLDShsvU0cgiEqp3p9ZsGdOp
gP/IRVDrvRqk7Z7aI3KFS86dY1WpJIO2WyPHT7fSCKcw7no5se11qNekgehTybNU5QR9WmM9L+0u
GJWlnUs62OAeM9NGB3GDNUMz5ugk5dnU3ThyprQ3g1NL2r4bO6QGRp6GD0Qaq/05actNEbD5K2OM
jIWe6KsoMoJFRYypUgfXja/1bpuMO13Pu1Ut1ePalsy9YY2RR/tVR+duPlekAOOLNCEHxPpDIhGR
HPZktCjybO60gps5yQGW8b8z5TGKr6WvP4VxrXqtjUkHzf0PMOx0BkKR954PZIzIPdLIFhfTlIzH
qWy8MXIYOJbSUc/rK8nv9pldfKU/82PGqjiME7B32qq0bozUbbRxR7CEIQ/ETljlU5TAq4l8vD0q
Kac0odnNtTg71PjkN85BiqfHNFR/zIrMqwTGj6TPvuRy5EnzTp1GAt8Nwl6C+joRLWQ5BAMxemO6
T0PrKCcpVo2xeEIvsw01jVwSiXFsFc1wBNXsZFoCNGE4nEQk6YrGuuoNljHjR+2OSKsw746+y7dQ
bqycnlhDFsxa03tqu14SEBNZy5l+Eck20m2beLMR3Ks1wW027gYvlDhT2YkzcPG6g4PkbLQZCfI8
gn7ThohgFxvHbTaWw5L04UNpt2jH7R7BtmKdoyE/0okAxVP6Z4d8nSZr2Ju1T6YzTEtijW8mTj7s
IDmd+UDIaOp2d35HRHM35Pd0yXexlPAeu/kBOT/+s87UuQfmYkF0n+TWRfvSOM4dBXoll+khycJ2
oQbahtnrHcEbaymyRhfvzJbz3KW3y2vHKL5FLHQLDrYnXSa+xuC5g6rhr/1ZqV1DrreBgLhO7RAs
yECPCe9Jto4xiUyk3I1ttVo3RjS4kd7gd+oueAhXudp+6TNlUyaAR/UOb8rU6eMykYFUyYqgmyY+
Q7eAf4W/Wnhmgu1CkpS1SU9u2/KFuiQAnuWyiQlmaHcd4OxFZdLTasY7/GkyGUosgpSslRQBz5MG
ZZ/mjulOgjVIvGS6DxT1YiotsdZNKcCpcradVdJ3kWqSAEwP3I0tDdFpdAm7GAd8gQUpZxxAkaPA
GcNmzlQeCcO+qCTZoXCFxWEW43NeBPcoPs5Nbj2j334eTXlVNiR0J8EDKcCm12rR1s/KB7mwN5pe
3wz4j1ECEwU0JTC+w71aD09QJdedpb44CSGEXXQ1KxZQhVa+yXVRxCUDxAMEwH+23T+33Ug9Pth2
F+lT/ptECJ2/erPtFp4TeAC4Kgg1+bUhRIg5KgsmaThUxD/9MV+zyb10FJ4sjR4N8gymXn/M1+x/
ybSRSIGD4WwJv+3faQiRbve+IUTsJgJ8HLuqYZIL8U7booOPrXmOprPdBvWFaVN2HSml9VCkurqb
hiR5nJTWWtltLx85cvu0VvuQQ3oP8d0Z2ptQLlLiwpRoTwikv7Sktl7mEXRFu5JPaRo6x15T/IMB
hv2KTET+vic4w+tmOENywYkZ8O5uVGfCM1tsSBggkufIl3NSxwbfkycCduqyGb9mYRjsSCOY8QO2
scfxE0wcjSw21NMXR63cMNWeJj+z4Nko9qotpGGfw2hd1sWAVrl1fHhN8pl4CnR6EchOx6wIX4+M
DY0OkYCutagO41nU1Dh+KSdl0K/anDSceQ7YYJSP4Rj4TO96NxITEAiY7hjnyVadHWhBuqVeAiV4
kJNpF3VavdLL/MoocPFEciutWzOYwYd02i4MZWuZMnlTcDlsiWJwPGIi9XWS5vqyV1UfM0hvL1iz
MbFmJTkPRX811zEDlhSAOsY76OoGYZIJ8B81cE6xxoa+n/h2pE4Kr6Oh1LwsUpRzg7PXm6yh3FZh
s+vU+CsxyADlYc2JwIh4iaWFvP5qbl3yRcMlpa72UimRV76pbGJdWkxSHbij0a+zNvGJJerKp74I
4iOEzRcpKWSRFER2kUFrYeDQRfjEjanRerZw9CbjuFb79Iv6SunRHVA/NBrPfaVcCtX+IgeNxZaZ
pjmTyFFtiVyv8P+UXMc0QX2mvR5Aj2ITaOXZvtGUF8MoOtwyww34ZNZ1VjQ3kcGEZpl8tgJnk2fF
uteMQzw6R5IF16FCEsScBtARfPMy+UwzguiczVG7MFtoVzpOp9mYjgZbsDKR7piCpx4niT3eWP6l
879mav1NG0h1ckL7ebTwaBvTXcUkBiBEiYKhbHAC5DhlT1VCD8wlpQfAs83QEKk2YWfgbQ8O2GWe
CoL+DwpxyR1+D5ba0vE1zyKs/hCYarT9pxj/LMaIWz4oxtFL/duUAv7qz2IsQ6xTaIOQrPW+GCv/
YslVX417OuoF6uQfxRi8vehMcAPgVdR+yfgEZucIUr1w/BHDhDrh73TnRcboG02T6IFYhCjwWq8Q
POe9zWIGOhuqRSSfWRYYZ2UzQZvK1yL4TlT4bDAlr838ENm9iCt31MNQ8t9rsGimkp87qJE4k6/T
juS2ZnYBTozrJgkf8tpY8+Rfa7l9LB0m0I31qJg6z9hIUreV7FvDajheEuKhBh1As/w2Jt5/0Tly
6lYVGgQ5Kh8J7Gbjq+4N4ACZAseYSqzE84OqS8R8ji19AeZnY2y5yRxtGoKGFnE+PyiBtRngRRIl
0IoUmscYENJsFwcnrh5IgMgWiaH+kNiC8nB8wbxLZl1nrGpHWs3WfIkcDvx8snXpxJ3LOZepNsQt
0MIYdvxh20aMayV2jAHwD6ti6txQPKfM/lINdInKdrK2c5coi8HX97Gcksc2SBsgV/TMcShsOoko
SR0ZuNIvhtK8Hsruemqz+i41pqe0pEVuVvYuCOV7OTP2tlyQeSyPxyApDQifxCEYcb5peymGgNnt
db3ZsgoSPOgbu0n5Torl18Dv7iZkItgJKRw0ZQgvwGCXIhcAHPyiWfTDSRG7M4Gtkdmg965EVkrb
BMECfqHJxGOCMz2tMWotyz46dA3fWRCkOhFsQWzWRP4ASj61Ywvj1bfiYt0ajMtJc4wwmOml3G4L
G9lJaznoT9SWEMKqkGsO0a/EmeaVPpP21YBMwlBbNsyCTzO+smoytcCGmeqMQZmjcoZxjllX0SEH
dZML5g3iFdXTIN4xvISIow2kMs7NMxWUQW5S/RCDKPooCBIET8cSZJ3AwPo7l2D7NOskharttmrJ
a8gc/KXwIR31x1yQevqxv6FbDglHUHz0yvgeg/Xh/PYytyS99AB/AhOIDwhcsOSwgBJScWtBB2LB
0Za60YM/FOQgJ9noYf1oJ0a70iQ9XRpghqaWuW+pk5YKNeI7QT6E0aTDyJ1DEycXpCJZMIvSQDoF
jymsamBG+Rh/1+EbGXCOVFQfzKz2Zs5GpSiveo1GIQ2Ku1LHRWbCSiJWFOoHOUqBbN77Isnb4L/Y
ynAfzNVVBG9p0qXmMDSPuWE0oOikYi9Z1hx5vNQI6jrxJNKWWA3pj0ghVvV6BJw48IsTnHrdTUWw
TcJwP5v5aa7L3ZiXwNuJkE71ns5iNSX18z/rys91hSHoR+tKk0RT0f2mu87f/bmyADwlUZmFHbKW
ali00N901y0gyNzrr6uHGO7+0V0nLQ42syHTlGVe/BqN85/uuiMkdyQ+60AoQWb8nZVFeZXa/0eX
KVYWhtEsYZwodJDU5rvuOqkGuK9rs7iMtcwputcHcD064lB92IQW+5J+Ah7fyQNrj2bIeznN6Byb
kZVsU8reQ5T5zZHZNuICTatuYroDG2PsmtOQ+OX3shUpJCnlKUytiRGlQsBoSTAWk2I6vZemztpz
FWNVlmSTmBjc/lCNfYUNV+7npyQoHWhd4TW6I+McKMT1qkE4rGdS+u9aezJ4BBnQDqrRHdsmtLaY
UItqYXVSslKMqfiCI5rULa1RX4imSB8MOc03gdHwKJd+89RDKFmGsh0trdoZ1lYMnYPo5vJqYIqW
dlGLwCgovX5Q9P4cSrnePxdNEOp7JffniSCFIulI1Wg76UUPnDg8haCtKop8k9dnK6QnbAXKGN6E
sUMrZ+jIWZjpNFjDyQZgRYRzoDMlBrlE2m3OzpbICs+gVciRScrpiRPrP32Le7XKlurgEOvvj4/m
II4zkmUU+HfNfIWChCWlM6ebdijmJyGWRJSoRjKmVNaVKFCctV/2wTfupMiV83l+8ptwfjGj8aGW
qlUeRDvJYlCbKTQuB6MuN1I5kBRhK920ToiKoK/RToekGEv0ZE7CUD0rCFSOhiDCU91qKA37jO55
Ut3rVsQc3VHuNLowm1IiSDOUh35h2DVe9rgxb2wM8NtWap27Uq7ME8QB2WM1cWSUO0Zx6zdyRos5
db5J1iDttLS1FuWYnaEaSF7d9uO6lxjaL4e0qlpv9KPyhyUVzZbzZw6gzW5oBs7m14Dmhjc7Vnw3
0rs9WLEeH3EbxI9E3BTuMIu022QuHudulPbcvIGrWSBbSOzzH+w5G+7yuGYcXowk8EVjeQl7OJE5
9OnUy3UdQ3TTAPDuoaq0TIWMxgtq2kBukBsmOBJ6LGQyQBzbWeOgXSGlsCEWFabyUhblvKpE7plD
A2fRDnhG/6nFr7XY+HCP/wWJc/e7Tb74sz9KsfK/7J3HchtZloZfpWL2yUhvFtMRA0eABrSymwyI
pNJ7n08/3yWJKhpI1TXgAhPR6EVHCVICeZH33GN+Yx+ZmqryM8kK1JaXJowKfopCr5/82nmW59wm
+fqRIytIUoB0Ju18bMZsOy7aEfI0qkmzRUhxirf+QZIvADavArHwcwQQQ6mhGNiaiH7MC85AL0te
W5Zpsx5p2omCkMSbuVby9ID8kkCCSuj7DwI2pOsI0MqqKuvii7z4IAW8TWGGer6WG8P5hJAX1moJ
ToDjEnSSAYilTht9haTxeAMIjrGZqehfQtvyvuVZaJ+UTDhPFdxHsQ8sjf7SH7RrbchaWqqDh7tc
G4WV9r3tC9MGYFC0LZABpABaHbczM5Liiy6MkfsM8jxT51kXN8A+JJTLMfdz069BNDhzg1JZnlXp
nRHrHbbOeXyBKxFDOyWPYnjxbq9NY2odKRYiZ1bQZdqF3ArxszYOL0qhh5bkENF951JT5AcDxbS0
8BYEl1sLtTE8a48NIa2mMnoDdIRFIJm1kzAASlbuMBToWSUBqj7KLB6Knz7ebyhbrhXE2xqtvYmF
8kAHIPqbFRE3BW31XLLyEhytYZ7EAV0GJwGbM6rwcCRJ+6mHFUgP18c1ti4gf7Qk9EEsIQfX2ecM
B9dVCvx4VO12hp21elyn1qdBkb7CEsfMNvRBH9W1p1LvICTKY+FyHFAGzpnPcwkwjkpklp9KvcbE
ybRT/xq/W6aqtBGou2TsSGIYmBauzlR4UVPOdKlkdAfGqMAT5cSXFGX9Ig+6fHpo/0gbxEyRG6v+
+7/Ud+Uq/hZkLxhT6GwOHuvXj1gxlIXnIcC6rubJhgmicoN46IQJ7rRepku64RQOcxKDOS3BiXGi
L7Q5KNxp9DfPukEG9WJPgZuD3Uz/1DENQwYkZ7/pYSLZ0jVe5WdrV/VOsHvspxHaUkhv6DTzrMiZ
F63LoE81AQW7tnzuWaV7ovAbmVHBlNmCc+fSTrTV8XvdZ86iUoHU13W+cO3xu2WguhO61Dju2H8p
YuZ6alkMU6sCXt6j8wH6iqkXpslzAAfHncLowh2nBX5f1OzOctSYCqjqMcI7CobJVE2Bg5Noki5D
xtYZjfxJJufzrvPOVGBKjNbAiLWIxidJCOq/LdZd72jHhYdGBUz9T16XLRkZnDe9LeOqkB/LEQ+a
5RTMLOXw5vc/8esg8szslYFk6I6pmdqjydqLIOKMJCR54pZruU3CYwIBFIwSdx9sYefYbKOkV/yd
FNFubtmLz3zza0o9uV6Ledm68LRvmPdQWnvZbKyspZ40KH66jAVNiA8WJakRVyDq9XQ4GxHngrth
nGWB/VUOyMEAhv3EnXSRA7BVM/NKdsc7wyu+Jx3qL0Va5P8x2XnyRRa80N/URxlQul3YI/7V9kiG
SaTporHFyULIECSeF9UR+ujAZVX0Px9RRNvqSLOP6NIB/YBiJNg/4mtsj2SGICLgYOMlzmqZcuYf
HMmMzF8HEBE1hDQV4ZQSyUYk9HUgg3WBPqAcyhfo0tO4FQcT4rd0c8uwmbc6ybCcuNFSckH+h4rz
2a1bwgGQF4Dk1o86iW8s9N4hkqizpq5lODDBD2T9VlVbnEVSiOYfJq1ALrEUMNsaoq3yvbN677hS
u+o0KYpV0ZKbjsGFVkurhJlJFQ0TpawQu3XRlWkHxrBWZS/TAEw31YOFeXDdmdk0k8bLyGxcIeR2
rWr1N0bMEp2J9GqIJIUWtXQr+fBN3DaEPRoEWEWYp3H4laPie+fJWH4Z4XVVojtSFtUUM5XTRC6A
747p8ZBl6rmc6xc+tI+JrGBQhop2mzanduXe5053GqjmdxV8zZXeFy1ZsYuxC2NRMLjfutKY01VR
NuBph0kX2ezf8nOgyvcekCpabVoxBdv/qbck4BZ4emWxs4wi+3yIPX+ucA+uHJ0HY76pQjTtWjcK
5h2NuamvFljaGC6YWgBHpZ18oia4QBnpOz4W9AIt9ay3i+Naj7KJg5XApMUoza48PBSMi0iFZ2V0
47LpFJQaRqQ8TWfRdMZ51/rHcm2308oOr3BPIECn/ZldjTRobGRe3Pxr4BvalCKN/pkTfS4qytwo
qr8aY3fa0dmf1FXyM7PLc1XRvDM/AsLr0zhLaxP1yAZVo1pdVi79oKrwbtW4XMk5LABG0M5JZzb5
XDX9+9Szbjx3OMaNuZ9D8jgZMvVRy/uh13PR6UG8vP7Cny3TjGxBb21oJir6oX5YXwLeis+cPrk1
zzIlwujSYqzMfpphvuwz169+0rZdhlZ5bDLtmZJnewv+4rnSFPM8Q+FQjtoWeabqRmnLY+wjv+mD
AsWFYUhuGyDbLGdaZ6R4aZpcNaE/LIoqWug1jHuGYvPBR9URUwSb/m9JahSjZZcIdZlBO1a97DQy
9EXsIHkdMQjUo+4k9FHG8UuYq3ixoW59WoM150ALrOGOgF9+8RFAmPmeg0eSiZHwtSpMlr2JXSbS
lUwj+xr1LdpqSh8sak1e4OuDD7jq/oy8/sEl9UbADiCgXFgnVtp/rszyRx1RtudZdsW86FjyoysF
PDguN8YUmOMs7y10mqx2FsRyubARH0J2TefmMEiywMtqfbhEYkmf+y7dEye2xmnYVjSEg2RWZ/1C
M4dNb+IO1PffbZfppjN84ofmVAql1RBIZ2nhH/uRtEqhjZmRMvXCGFlQdxmi2RvZeEz3dk6beDzR
8vqLUpQY1qAvpqIS1SaUllpAiRsUMGMiFfsV67gDLJXkCT/I57oMj4e+WSBvTmrRrAIJt+8otRBy
rGZ+4HxNQpE+lD6GOY4CSyfA3Csxmwl20kuK8zX56V2F1LhcI1jZW3gOM5jU8uEcea4VHp85wpO4
SWPSy2+Lcq3ULJuqvGvK9gKA9awK9Vs58MDnDOXZGFkmErvpXI/YhTJQxgIjbtJX+cZo3Ad0N3k6
W/oDjodXH+KYDAn6qVSgH68ll64M1cwn/wkDuAJ2gNm43px3VnraSxDhkwines9G8w5XdNNegl4H
DCofO1ZzGZjtF1nNVy78G7NlzhqFMfGvTyWE8bJrDTHFaTCWF7pMc90Ll3iJT/KgXbvmeAvmaVKo
9ZWrNidl0eLUwzykp2dOgr8wzXKuScoKXFQ7q/DGJgprC8eoT+m0LGw6RlMHRHORyz9Ql0GxVW2+
a4EdT2lZaSuUlC+VdJjknneljPaZYw/tdBxBy5ljdyKb0RQ4jz9FG5bRihQ4K80zGnzF+0stlhaU
QpeqY//ErRpUXD6rwJxVpS2B6yrSaYef5FDnl7Vlf+oDBHITw2imfWI48z5U46+R5g7IJ7c/w6rB
zkz+HDcpnf7szHcq2slYfMGMAzxZ/jQ8ZD4bJV/7PUzycPwUKSpqim30mQg8r1LjqpRchKBl55tk
ll/6oj/tEh+AbZNYwNbp4ysgUCIcmnp6eOjJ67WgaurDyi2AqwPLLAZ9ib119LmNpQ5kO+DUhTTW
3dTu7XksByugqdA5u2Sc9Zl/r7daMxvarBcl2sYZxwulRIqZdMGbeaizgZcLJ65W/LRqZsFOjSRD
YBEuhz6dQbT4koXqZZao1wCCu0mb6eghVnfU5bMatVVLGi4qswe5Q/wq0apFjD791A/S57zPbuOA
8UCXarM8hiFp45jRRjhhor2J7j7z9bgJm6sSJOfcAKy81FOZsTUE2n6aKFrr/40YhCoy3lc9A8tE
TVRWTUMRHVyQ1q9K+arAcmRwNOdCuUkmX41Fe1lMYfpNnc3tdXWOg9I8o+IKzoxjpKyX2cI/Mbxl
eO4fP+Z1/6F+CZuS3yS49YaJT7xpqh0jAP7ln0mufEQaayHPpFIr0fJ/keQyHeAtkllDEy62dN+3
fSeRyaKFisMtoGwMYHhrm+Ti/ULWzNAGKyG6RuY/on5hmvv2KYJJD52f7o4ivGlkUUW/qOXwrNKi
so+zi4acbTwP1dwI14ouh+q8JoW95Gxp6ynGgGsjLy6hVt/pNOHnpZrctgr08kRJzgq1/Ib3xUlc
pdcBzZNaUnHsC91z2zDO2TnRNLW6Y09rvVlZRWd0hb+MYfrgBFU/yVq16qZYoV0ZHlbbCd4pPpqj
DVKeM1VHHDuuw3Oa7Ihv2wgoa22q/FBxj+vbzosXCMjbyoqqoAxOsL6rveNIkSDAyK1jUivnGi71
GKVxUAndYiuwkuPCck7MGDXmW82t4Te5SRc2yNHT2j8rw6D6FnYu6PVWS9RF27ThSFIUnlpVaoZT
BOYqYJZoes6cyi5hMKVWi8lS6cnFPGHU40HM7n802AhPujj9YuWE3ZqZhd06qI0E5iZ3MQ62uqK/
Cu24W4A7OgfXVEzVqoak6gfzYqSS9SEXZG77SZXdz1I5rmpLum5BcaZtt4I5NGslrKM648JpTRoU
uTktYxWYfLDJmRfGDWlJVjfnKEsyhJDypS2ysNJRrttGWpmKOscsZW0L7z6tnCRSt1SCmnwzWWLR
eeY5KBWr/brJyh/yUF07frxUQ/MTwG5SD4sGjndh+rTBaXrcxDkD3DSYxbl83BnVdVkDSu2ZGpv6
l4TzHg/UjWNXKFh3zdRONHUeOj9TJZvrsbnWumYOThvXmXGqQIR3g+rSiepvZYVfXmPPckmZI+e7
HrPkwkYvAGbcOsU1qOrVL2OXnbdqONGTdM1vCbAZ4Lbvr0M3W1eaczpqxoKi64RK5jg35e+qES4A
CZznWv3Dy1BHFz+9Z0EMKZVpkCjHttmfoXZaC4DDulExPy/CdWmqVwX8q3qUPhm+tooZ/yLNngEN
SlYVOqCof00ct3iAmkZtEH+hjPmUyf41FpILNzfOMJBdqE0CRL8F1T4oZ52OdSNfYuqkCsZtypnb
jifwX6alX595FkdfwAna+6usgh2JAeVDaanIXPbX5RA5E9drjSvMW44Ds/PXpqtjYawmF2WMiis5
UMHMR800BRdC1svoiwsZHn+n8Eg1jr6KaX5MC0H2z2H9D7D/merD49LIIL2rXsgD9IzVWyxGZxrK
AXU48PghJZDn7jHV3LCQNPc7AP3zTsgO2Elzi0MzOZBG1SOkCZALxsLzUa5ACBdIPtjuvJXSueor
566uX+tC5gD3H+gMPb84Q5TLEC2ESk9Q9UMcIScThgRthQuSw/MaBQV0BqYGqbFMvTTn6eDXUkHm
OQ26C3gTTVOUGFQhyeAPFb47wQXivWcamg0KTJjELNa5EHPoiuQuF/IO6ihhREPHNRTSD6BGrozY
XmVCFALHWG2SCqEIWno1PIdmmgkRCdU3kCJAVwKlfFgbpC/MrL7WQnpiECIUUjKuG0U771GnMIVM
hWTTz8wRTu8DH4p/2F6baFrghHsicQLbUhMv8KDP4ZR058ivAFsQkhj4lOZTR8hkqEIwA4pFsQib
4SwTYhqmFlxEUfGpNRtzin/0rWcaPO8YgaQocbS4EbpCmgP6LN4SqHWQSKeQ5oVlt5DyGIWoh2+Q
U/7n7H8a/nNM/ubsJ3I8lDvOff7Vn+c+hzuje2FZ+Hi2k5392dxSjhy6Tah8CvV5VfSdtuc+yDFF
zPdhYzuKKXjdf5779hGwXlOWZZIIkVH8o+YWPay35z6ythgs0EqDhEsa+SZ7bFUw84XkDBecWtUC
7dR0XqExEKGUZrsFoKawN5jtGhKNIzfNz7uuuQHtdGzYEY4SJUTOwJeNsz6F99GGKqIylX4CaEGe
xoNWLVSF0QYmYtmyb4v8StVpzWInghjz4BnHtG++OiOmUpIh36VoUdAtH6+SAOMUt8O1WELwe6J5
WCTacTtNs1ZwPqxoGmQd+DIbIGkDSXeaJupVpEnxqk0wt0rwbpNL31hKVt9PoBVUKwVIAAHaTI1p
kEfXDAkeuqi4yYAk5EkHyV02pVUImePEc2I6FrWTX8gN/StVvXao2CcurRDSpg4yVjOrhP6D2znn
jNUmhabGk95rr+Ro/Jw0+Sega6eBX33HVes4zBO+7Nip09QOz3RDgCjoJ425fT86OG0MQ1RMbbU9
Hawsm+LbVkylBj0u3+wXjureRaAWmJtngEUrwNPFORpGX8OAE8HScnca+Ek574zhxxioaxBr/AfU
isD3YgBKWmFfVpoNhE1qRHnp83kuc3jGiigTMRYqc4ZfVr+QQT2oMDAaUYWX48Nog4UwrPY07RkE
WqVlM+kmSKZNlaNsgvZ/aaNt7XhE407Vv+RNfN5IgKkKPZ+3vWrMquHBRRAcyYp6qrreZhjSn41F
m96K8Iqu9RFtAbmOER1RL91yMCeWWchLFIAgCo4bu6jciQKnEtB2RkqjMwKFXrZqIXeEYXbVyIkM
8Anwsx0D2y0WRpwQ9rX0uFHMq77zvuDc7UzqpDr1yjomSYL9YUP1mNgVxG28KdBNGkZ5acUptVGC
smsmlI6Dwvmcu+FllKBoU1TmqdvZANwKlJkBzW0Am2OF2mYbq4f4U/USw0HJHZduTderqyNU+T2d
XFNtMOtWxhzynYf2eO3dWK7FMwV1fqkmyXkN8HfapOIQ70eJtq8FW03XT6l6r0zF/5YiuzhJ+8Se
G5V5lpjq0rRtYrvnXPRpVYHBVuFc+mS7HhACXDMYcXQuen5xf5H10gouDsaeXXRHFfolTLQf+YAJ
kw6Lk5HlA0FqXaq0YsrOXredIc9DG5kFwCrtmTNUl1qu3YcCpVbl/lIDedKFzrpX05sgjUPaB+O3
uKCFXXGC0QQLw0XuMaWuXXyHsgKzOj+e0Et6CEdGrIPqHo8NkAg83cxJpYvGjhfcZL6HKpQXxHMp
j76kXfZFKX3MVlt9U8rh99Sk26jUzCnzzM2FCMx5k9mfw1I6xcTmBG9bGdijMTf9/MTNjBC6YINK
g4KMtSN9q4sBCE92lpVJPOmsChk7z/paj6QKkac5yza3nFmVOMmyQ95iUlSOfqFGGY69BRy6+/8c
i084DE6JXx+L3+CDvT8UhdjIi0ORqYojBNvgnEDtenEoqkecRzJUcygx4mj661C0j0DD6aCp6XOg
GfR64qMpmmDL2GDiHgF2/2DiA53h3aGIEIrODIfZsQr1nS/xshjG8zFMYzXEVKl26Q7aBAy3vK3V
xJ+G6lDPRiXNbgPq3gu1TpKbqnGxZpMVup6jq0wVRHYIjm49KXRtDcEHB6eY7s9ghcgxAbCqVdk8
9Yv2h9N0+W02ENyjIu4vHc/Lp4wlrKnTuNmtXrXnpdzAX0xhyAY+7D6vAAbcpd41TVHiHZ4tc691
lVmlKJ8SDNuWMZ3P45CJMBXnShvsW69oEH/Ucaun8g0u4qBPpjjT4qdmdkunsz+noxp8KnTqKF8d
0kU9OmilRQAnFJbgAnFTd9HLtbOkBSo6d8hoYnHE9hEbKRZbCmcRvBbYZRm2jOAGQ4hkTXLWsBMj
dmQntmbNHnXEZjXYtXKjzyPLk+cq+zliX7fsb1bzPBMbXhZbPxNBII387wZRoTcd+gPECa+IvgiS
3TwXIcQlltQiqNAHBembosdlet4yEqFHMgl1Ihj1qXliYiA6qccU1qSIWLWIXb7byTT1xm/80CFs
n/wmk9y1TsCzAahrWL9zJ9q9S0iEXt2eQcpF/qVG1L8gcEIURPzGHddGxk9a5/2M6pCDQ/tBJU1N
Gt1JLp4+me+fRIRlU8RnS0RqRcRsqVNX+N+gtN8AGO4I7CgscFImogHKfEbE/kycAgbHQe6NVzrH
QyjOCUmcGMikYcEiThHTLiL7Qhs47H+I/uCwsuoqmlvogYC9HjmoIfXOYqNkBmQZDxITmaCxAbdL
A81lcAFYjhjgo+OTFqXDiWXgG6YmyplmUenEgtPrygooDcMOjgcjgrRFqYuginpdGkZLuVEideZF
6ORBeBn8YJgHUJDnWegsZJlmLY0kFhlIzwoJbpRxDcYaHRt8iifPUvPy6zhN0TIM9FVvOxXgwUS+
TX0XvLOOJ3CWIuRgYBSFLmUyU91uOupyOtEG92EY1GUg2cYqMozbsna/qxgHTnEXnlqWsyZhiFed
bjD/6DiMrdhcSXapX1j1gBArKMRprgQmHWL9po1E3lUbZ9RgVF0I0kxlyTgpwX2eKEN2Wuixsiqy
gF+pRoNe+1op7oXUeQvgg/1C7wLEJ8qA/nJS4uYLM8kb/JldxD/82FjYWc5WZ5vkglnF2f89h2rV
C85VJFn2jO6xcuELRpYruFlhUAAj1+EuNLa7bgsp40QjixqccRKnIhGmmGN43F8NCucaVsRwwIYR
vz3BC5OLWp/bVaYfD54La0zwx/IiPYWdgEWf4JahfjCeFKEiHeuCeZaRjpuSUy5GSGk42X7NpUS7
VENcboh+aB8EujP1IbNJWjf1BLvNhOZWWKH3s4L45vhs4ysLMhxWF9DiAEaSd/x/OT+fu95COHWe
1kE9XDUP5XD9UGFwU22PFvHuI/rpNvu//aXfX+hZsfV2yFFs3dyjZzULqroM7uqXhyvUyLc16uN3
evzCv7tEvOG+mnuurSEwZuBK7oBDf3xRiMYZmN+nt4F+OUfQ5IEkcl4/vl7+jL9bhd/f4NNy/v7v
/PoOOJPBe/LTrO7/+7+eoCgyELRXacm/sxJc58VSOIjaOlDxYNc+vsS7L5cCrIrMIJm2+1MK9OJB
+dWj8Psb/OBFQCXu//I4vF4E64gJgE1apD393EBr3i6CyrjCEuMI1vvQ1oCf7m1++s8fBCYvpKZw
MqynNWAe8nYNmL8AWFKexkMHuAi0evbcDWClHXiNCgC/x9fbRSAwgK1EllAoix/mk/D0iD4ho/8M
VX8THF/vBlDhtO90Co7di4BGNvAz2D0qcfMgF0F5+mL7LIJ6RBUEkpfC6/FFxfZqOyjGERrhhoFA
1+P7h7oU8v5LYQu0Iqh5m2f+1RqoMrtBUAvoborXoa6BQjzfMzDo0KFV5Cd0sg/xehcY7COk4Vkn
oUVxwEshFOv2XAr7iA6+Cjnk6U5lETxeZQzyEeQhcgqdLsNBhgf56YvtER4QArQEyl8VR6Z4vcsY
dPIqXSNjONSUQWjd7vkkECMB4hiPTqWvHgEFrAaTHNpWz9vlUB+E/QMD0ynkEeg7PT0HIhl9tRQi
RjpwWSGZHnZgeMrq9tgTmsmgTuFMpHx6er1ZCpE82Qg628JR6CADw3ONs8ciiMCAo6AN5mn3IlBP
ITZtQnJ+isQHmEbvX0+RQdLRxsKYQPt6N6gcHtiraMahhkXhuLJfWEQJVvir63Ak3969TlikbU+l
ud0gB7kNlKcfZ49tQCwAXMdDgKbD9lZfPQiwUokSJpO8Q60mn7OXfRaBnNAg8gum7Db2v1oE0VuB
ecvo51AzJWX/dNE40sBvUEw+nX+iSHi1CJwKovEAHuTpMD68gKjs32Uzj7g9Okjb8uFtliAajrxH
RX2wi7D/qWAdQZAlX5Sfj8a3NRTbwdCgq1qiujrMwLh/zszTTk/BkimaH1/vqif1CKVDBerfocYE
fe8TUtMZeSPxYtGA3306sB0cWxNk/e37h/k8PP1Ge5wRJAs63UZm+E+Pg6jPX4VH6gecJYHNmYca
GdT9N4V5BFHgUVDiaRXeLYJyBBdAh0dwsGnjR5RPtFVIjAmQj6+3ByVPAkUDRoOCSnGQ20HIjvDF
9tgORAYQm7B6fjWF4KCk36jIpuBrHOQiqPuHx0c7SZ4DPB52PgksAhhaC80U+aDD4/N8YJ/nwTlS
RAVhWc9t+HebAjUaxBGg9xxseHz6YvstgooWMbviOTLsCI+ywoAWVYpD3RT7V5TWEXg3x8R55emZ
f5c9cpKCLacBr283zUHGB0FE2zNIPsYHgD3b7ipP2OucAada0PVINx3qREZISuy3CDTadEfGwUZ5
ThF59F8vgnyEyh974rmGPby6UqBA91sEgCyOrSLSxVJsH/q3i6ChK4HL0dNnHd4iCBWlPRdBtFnQ
UtkGhnezGJEzIErscFo+ftbhLYK2dx3Bk4B/IXot3Oc2J3j9JAiYsUxn+jn+HN4iiHbp/k8CzGDI
R78Y2tNhoPVKM8o+1DriOWLvky1wUDKHpr/wq4NSOXokPRsHiujC5mH/Ykpj6kbrFfXZ3dkCE0rI
57ID1exAY4K6f56AYhQ6TizD8+mwK2+EralA5tzGDDbg4UWGd160/xzdZoreI+z9bbbwLnukFc8Z
AUfjUFNooX6/Z3ikbESJgVn1c9vtXd4oC34mOdUzNuDwngShqbjfIojpHL142tDPeeO7RaABywlB
6/FQI4O29yJoGnmjjNDc80zm/VCGQwR8D+OIQ02ZhFLsfk+CRm8BYVyQTM/b4V1MoOsoBniHW1Zr
+5fVWCuhqUJb8bmV9G47iDpL/I8Znngd7KbYP2cwSA5Vk0YKx8Dzrb5OoWnFs2HAvR7qptD2rygZ
3Bs89DSi/8wJXi8Cz4MMXU852Jm1tn9FCU6DJjTwtech3dvEieyRqhvb4EN9EN5plP7zjMk+ehZa
eoZ5vl0DainQf6bOQOJAM2iNWLbnEUF/hUxBF1oRj693i6DwIDDWd5yn1uyhRsd3kl7//HmwmEOi
J2WYvxpcKxCFBAZamH2w7IeXPOp7R0eSR5gfIFsR0398cf6+jo4o+9rEDs6RA10EwUrfc1NAkkFD
RSTJb+8e8KMFBB6Q24HevbAY2/PuwTaaMk1VDOB3hwT5iDdBN4DrEq9DXQpj/3abGM4p4H3prD6+
3u0GiELgWGx2zIE+D8beRTUhAQqQCTvkF1gW0XMEyQJf6ukMOdjnYf9aApSbJovb/MU04nF4L3qP
z5OPf+uI+Df+0p8E5akfxPeP1GQs2XcxmH/1F7aghffvv+DcPjKPX/1NQVV++vAnZq7473+9Yi6r
j+fgi3e35+LjJz3/++dbfP/hrz5se1/bP1zi8Lgp7/zh8Y3h+YuuNwkM5/+J+b/7zVvGsGiGbv9s
B8365RPw+6vnQfqwvdALOjK76a9bfcPh/rcvnmzus3J7oRcXZ+PsffGJEDDbXufFtflye197uok3
LT9Jtb3Wi+sT//a/fhY31buflEOGM+0DLp7W5eaPaVbVuz6Ck37vj5g9xH+ss3Ln+nMW7X39efzH
LCt5eLbXerH+VAJ7X39RPlS77K0FEmnvix/HD2m6vc6LL/4R23XZJD+y+L5+f3lBdtj7q6+S/KEM
NvH2Un99e0HD3f/y6bDjFxUUhb0vffpQ7lhzgRfY/9JB6u0IBAJKvve1zzbRjhgmSFUfcOmqeti1
Jh+xQc+y6o//Sb2H+GHXynzEFj3f3BOAt+vw4kH8iC16vimDXUvzEVtUXDvPdkV3ASfc+2c9f0jv
s7tgV/QSGL0PuH5593C/vdBf6y7Ir/tfPOO7b6/z4tofsU3PcevZcemP2KVcGq3Uh2HH5T9ip643
+Y4HXbQd9l7w9UO7eZ87Mpb/iC16UW4IAdtv+eLn/Igtehlv7nbp04qG/d7Lchk3ya7kTgxm9774
dUDqWAX3O1ZGjPv2vv7N5q6kJEjrHY+7mCJ9wAekf0we0mDnB3zEVr3ZiA8o0015vzOQibb/h9zF
LHjwdq3SR+xacRMLdsBdUN3t+oyP2L7iM06yTdHsOq1ET/xDVumsCao/Ln4EVb7rPj5iM4v7ON/U
D7uu/xH7mevXmz8mm/LHZlfOIGhOH7FSfMY03v0JH7OxxV1My2bcft2/YqrAzex/C/5mZ00ouun7
X5wexs7F/5DNHPzWqvxRS22PLshNFm92ZQ9iMLr/wvzORnDvb/53Fi57f8DvdOL3vfjtg7/Z5bAo
erl7r/stOT4Se9sr/bWXBPJo/6s3RIIdR7xQQ/iAi9MgSnb15US7de/L/95set8f9TcSyntfuvmx
I1MW44+/WZNdbdk/55rvm7VbYcNd/+x1L1r8jbv4YVP+638BAAD//w==</cx:binary>
              </cx:geoCache>
            </cx:geography>
          </cx:layoutPr>
          <cx:valueColors>
            <cx:minColor>
              <a:srgbClr val="7CCE32"/>
            </cx:minColor>
            <cx:maxColor>
              <a:srgbClr val="0070C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11206</xdr:colOff>
      <xdr:row>53</xdr:row>
      <xdr:rowOff>0</xdr:rowOff>
    </xdr:to>
    <xdr:sp macro="" textlink="">
      <xdr:nvSpPr>
        <xdr:cNvPr id="2" name="Rectangle 1">
          <a:extLst>
            <a:ext uri="{FF2B5EF4-FFF2-40B4-BE49-F238E27FC236}">
              <a16:creationId xmlns:a16="http://schemas.microsoft.com/office/drawing/2014/main" id="{7201053B-4B2A-4C2B-9539-C5C859BE83A3}"/>
            </a:ext>
          </a:extLst>
        </xdr:cNvPr>
        <xdr:cNvSpPr/>
      </xdr:nvSpPr>
      <xdr:spPr>
        <a:xfrm>
          <a:off x="0" y="0"/>
          <a:ext cx="1736912" cy="9502588"/>
        </a:xfrm>
        <a:prstGeom prst="rect">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xdr:colOff>
      <xdr:row>0</xdr:row>
      <xdr:rowOff>0</xdr:rowOff>
    </xdr:from>
    <xdr:to>
      <xdr:col>27</xdr:col>
      <xdr:colOff>352425</xdr:colOff>
      <xdr:row>53</xdr:row>
      <xdr:rowOff>0</xdr:rowOff>
    </xdr:to>
    <xdr:sp macro="" textlink="">
      <xdr:nvSpPr>
        <xdr:cNvPr id="3" name="Rectangle 2">
          <a:extLst>
            <a:ext uri="{FF2B5EF4-FFF2-40B4-BE49-F238E27FC236}">
              <a16:creationId xmlns:a16="http://schemas.microsoft.com/office/drawing/2014/main" id="{7CF5AA0E-9CBD-4100-8546-04698A9B7250}"/>
            </a:ext>
          </a:extLst>
        </xdr:cNvPr>
        <xdr:cNvSpPr/>
      </xdr:nvSpPr>
      <xdr:spPr>
        <a:xfrm>
          <a:off x="1725707" y="0"/>
          <a:ext cx="16757836" cy="9502588"/>
        </a:xfrm>
        <a:prstGeom prst="rect">
          <a:avLst/>
        </a:prstGeom>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mj-lt"/>
            </a:rPr>
            <a:t> </a:t>
          </a:r>
        </a:p>
      </xdr:txBody>
    </xdr:sp>
    <xdr:clientData/>
  </xdr:twoCellAnchor>
  <xdr:twoCellAnchor>
    <xdr:from>
      <xdr:col>0</xdr:col>
      <xdr:colOff>76200</xdr:colOff>
      <xdr:row>2</xdr:row>
      <xdr:rowOff>100543</xdr:rowOff>
    </xdr:from>
    <xdr:to>
      <xdr:col>2</xdr:col>
      <xdr:colOff>161925</xdr:colOff>
      <xdr:row>5</xdr:row>
      <xdr:rowOff>14818</xdr:rowOff>
    </xdr:to>
    <xdr:sp macro="" textlink="'Line Chart1'!A9">
      <xdr:nvSpPr>
        <xdr:cNvPr id="4" name="TextBox 3">
          <a:extLst>
            <a:ext uri="{FF2B5EF4-FFF2-40B4-BE49-F238E27FC236}">
              <a16:creationId xmlns:a16="http://schemas.microsoft.com/office/drawing/2014/main" id="{344372F6-EF14-4FBA-A926-0EAF0758F6C8}"/>
            </a:ext>
          </a:extLst>
        </xdr:cNvPr>
        <xdr:cNvSpPr txBox="1"/>
      </xdr:nvSpPr>
      <xdr:spPr>
        <a:xfrm>
          <a:off x="76200" y="462493"/>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E50F59-B2D4-47D3-A26D-B3479C0C86B3}" type="TxLink">
            <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rPr>
            <a:pPr/>
            <a:t>2,400</a:t>
          </a:fld>
          <a:endParaRPr lang="en-US" sz="1800" b="1">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76200</xdr:colOff>
      <xdr:row>6</xdr:row>
      <xdr:rowOff>73027</xdr:rowOff>
    </xdr:from>
    <xdr:to>
      <xdr:col>2</xdr:col>
      <xdr:colOff>161925</xdr:colOff>
      <xdr:row>8</xdr:row>
      <xdr:rowOff>168277</xdr:rowOff>
    </xdr:to>
    <xdr:sp macro="" textlink="'Line Chart1'!B9">
      <xdr:nvSpPr>
        <xdr:cNvPr id="5" name="TextBox 4">
          <a:extLst>
            <a:ext uri="{FF2B5EF4-FFF2-40B4-BE49-F238E27FC236}">
              <a16:creationId xmlns:a16="http://schemas.microsoft.com/office/drawing/2014/main" id="{323AFBD1-88AC-43BC-8276-1D0344133EC5}"/>
            </a:ext>
          </a:extLst>
        </xdr:cNvPr>
        <xdr:cNvSpPr txBox="1"/>
      </xdr:nvSpPr>
      <xdr:spPr>
        <a:xfrm>
          <a:off x="76200" y="1158877"/>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4518F9-6A8C-407A-BA8C-59A802ACC9D8}" type="TxLink">
            <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t>11,997</a:t>
          </a:fld>
          <a:endPar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76200</xdr:colOff>
      <xdr:row>10</xdr:row>
      <xdr:rowOff>45511</xdr:rowOff>
    </xdr:from>
    <xdr:to>
      <xdr:col>2</xdr:col>
      <xdr:colOff>161925</xdr:colOff>
      <xdr:row>12</xdr:row>
      <xdr:rowOff>140761</xdr:rowOff>
    </xdr:to>
    <xdr:sp macro="" textlink="'Line Chart1'!C9">
      <xdr:nvSpPr>
        <xdr:cNvPr id="6" name="TextBox 5">
          <a:extLst>
            <a:ext uri="{FF2B5EF4-FFF2-40B4-BE49-F238E27FC236}">
              <a16:creationId xmlns:a16="http://schemas.microsoft.com/office/drawing/2014/main" id="{F8B88693-A0FA-46B7-86E1-9C365A94C03C}"/>
            </a:ext>
          </a:extLst>
        </xdr:cNvPr>
        <xdr:cNvSpPr txBox="1"/>
      </xdr:nvSpPr>
      <xdr:spPr>
        <a:xfrm>
          <a:off x="76200" y="1855261"/>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448599-5B78-4653-B30E-BFA8DBB74E25}" type="TxLink">
            <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t>$649.0K</a:t>
          </a:fld>
          <a:endPar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76200</xdr:colOff>
      <xdr:row>14</xdr:row>
      <xdr:rowOff>17995</xdr:rowOff>
    </xdr:from>
    <xdr:to>
      <xdr:col>2</xdr:col>
      <xdr:colOff>161925</xdr:colOff>
      <xdr:row>16</xdr:row>
      <xdr:rowOff>113245</xdr:rowOff>
    </xdr:to>
    <xdr:sp macro="" textlink="'Line Chart1'!D9">
      <xdr:nvSpPr>
        <xdr:cNvPr id="7" name="TextBox 6">
          <a:extLst>
            <a:ext uri="{FF2B5EF4-FFF2-40B4-BE49-F238E27FC236}">
              <a16:creationId xmlns:a16="http://schemas.microsoft.com/office/drawing/2014/main" id="{9E6C397F-6A8B-4E33-9434-CFEB0ACC1C4F}"/>
            </a:ext>
          </a:extLst>
        </xdr:cNvPr>
        <xdr:cNvSpPr txBox="1"/>
      </xdr:nvSpPr>
      <xdr:spPr>
        <a:xfrm>
          <a:off x="76200" y="2551645"/>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108749-9E12-4D4D-829C-830387FD2511}" type="TxLink">
            <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t>4.0</a:t>
          </a:fld>
          <a:endPar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twoCellAnchor>
    <xdr:from>
      <xdr:col>0</xdr:col>
      <xdr:colOff>76200</xdr:colOff>
      <xdr:row>17</xdr:row>
      <xdr:rowOff>171450</xdr:rowOff>
    </xdr:from>
    <xdr:to>
      <xdr:col>2</xdr:col>
      <xdr:colOff>161925</xdr:colOff>
      <xdr:row>20</xdr:row>
      <xdr:rowOff>85725</xdr:rowOff>
    </xdr:to>
    <xdr:sp macro="" textlink="'Line Chart1'!E9">
      <xdr:nvSpPr>
        <xdr:cNvPr id="9" name="TextBox 8">
          <a:extLst>
            <a:ext uri="{FF2B5EF4-FFF2-40B4-BE49-F238E27FC236}">
              <a16:creationId xmlns:a16="http://schemas.microsoft.com/office/drawing/2014/main" id="{912AABEC-31D5-4115-B589-C633217FE072}"/>
            </a:ext>
          </a:extLst>
        </xdr:cNvPr>
        <xdr:cNvSpPr txBox="1"/>
      </xdr:nvSpPr>
      <xdr:spPr>
        <a:xfrm>
          <a:off x="76200" y="3248025"/>
          <a:ext cx="1514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3A0479-0F8F-4BF9-9BCB-E78905806957}" type="TxLink">
            <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rPr>
            <a:pPr marL="0" indent="0"/>
            <a:t>2.3</a:t>
          </a:fld>
          <a:endParaRPr lang="en-US" sz="1800" b="1" i="0" u="none" strike="noStrike">
            <a:gradFill>
              <a:gsLst>
                <a:gs pos="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Aptos Narrow"/>
            <a:ea typeface="+mn-ea"/>
            <a:cs typeface="+mn-cs"/>
          </a:endParaRPr>
        </a:p>
      </xdr:txBody>
    </xdr:sp>
    <xdr:clientData/>
  </xdr:twoCellAnchor>
  <xdr:oneCellAnchor>
    <xdr:from>
      <xdr:col>0</xdr:col>
      <xdr:colOff>190500</xdr:colOff>
      <xdr:row>0</xdr:row>
      <xdr:rowOff>123825</xdr:rowOff>
    </xdr:from>
    <xdr:ext cx="1085850" cy="171450"/>
    <xdr:sp macro="" textlink="">
      <xdr:nvSpPr>
        <xdr:cNvPr id="10" name="TextBox 9">
          <a:extLst>
            <a:ext uri="{FF2B5EF4-FFF2-40B4-BE49-F238E27FC236}">
              <a16:creationId xmlns:a16="http://schemas.microsoft.com/office/drawing/2014/main" id="{C5F3F984-74C9-438F-9EA5-F3A336A183CC}"/>
            </a:ext>
          </a:extLst>
        </xdr:cNvPr>
        <xdr:cNvSpPr txBox="1"/>
      </xdr:nvSpPr>
      <xdr:spPr>
        <a:xfrm>
          <a:off x="190500" y="123825"/>
          <a:ext cx="108585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76200</xdr:colOff>
      <xdr:row>1</xdr:row>
      <xdr:rowOff>38101</xdr:rowOff>
    </xdr:from>
    <xdr:to>
      <xdr:col>1</xdr:col>
      <xdr:colOff>638175</xdr:colOff>
      <xdr:row>2</xdr:row>
      <xdr:rowOff>104776</xdr:rowOff>
    </xdr:to>
    <xdr:sp macro="" textlink="">
      <xdr:nvSpPr>
        <xdr:cNvPr id="11" name="TextBox 10">
          <a:extLst>
            <a:ext uri="{FF2B5EF4-FFF2-40B4-BE49-F238E27FC236}">
              <a16:creationId xmlns:a16="http://schemas.microsoft.com/office/drawing/2014/main" id="{2AF1A3CB-99D8-4CBE-A4D3-20347B3BC05D}"/>
            </a:ext>
          </a:extLst>
        </xdr:cNvPr>
        <xdr:cNvSpPr txBox="1"/>
      </xdr:nvSpPr>
      <xdr:spPr>
        <a:xfrm>
          <a:off x="76200" y="219076"/>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solidFill>
              <a:effectLst>
                <a:outerShdw blurRad="50800" dist="38100" dir="5400000" algn="t" rotWithShape="0">
                  <a:prstClr val="black">
                    <a:alpha val="40000"/>
                  </a:prstClr>
                </a:outerShdw>
              </a:effectLst>
            </a:rPr>
            <a:t>Orders</a:t>
          </a:r>
        </a:p>
        <a:p>
          <a:endParaRPr lang="en-US" sz="1100"/>
        </a:p>
        <a:p>
          <a:endParaRPr lang="en-US" sz="1100"/>
        </a:p>
        <a:p>
          <a:endParaRPr lang="en-US" sz="1100"/>
        </a:p>
        <a:p>
          <a:endParaRPr lang="en-IN" sz="1100"/>
        </a:p>
      </xdr:txBody>
    </xdr:sp>
    <xdr:clientData/>
  </xdr:twoCellAnchor>
  <xdr:twoCellAnchor>
    <xdr:from>
      <xdr:col>0</xdr:col>
      <xdr:colOff>76200</xdr:colOff>
      <xdr:row>5</xdr:row>
      <xdr:rowOff>10585</xdr:rowOff>
    </xdr:from>
    <xdr:to>
      <xdr:col>1</xdr:col>
      <xdr:colOff>638175</xdr:colOff>
      <xdr:row>6</xdr:row>
      <xdr:rowOff>77260</xdr:rowOff>
    </xdr:to>
    <xdr:sp macro="" textlink="">
      <xdr:nvSpPr>
        <xdr:cNvPr id="13" name="TextBox 12">
          <a:extLst>
            <a:ext uri="{FF2B5EF4-FFF2-40B4-BE49-F238E27FC236}">
              <a16:creationId xmlns:a16="http://schemas.microsoft.com/office/drawing/2014/main" id="{8B480AFF-89B4-4A52-82DA-926F682407F2}"/>
            </a:ext>
          </a:extLst>
        </xdr:cNvPr>
        <xdr:cNvSpPr txBox="1"/>
      </xdr:nvSpPr>
      <xdr:spPr>
        <a:xfrm>
          <a:off x="76200" y="915460"/>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effectLst>
                <a:outerShdw blurRad="50800" dist="38100" dir="5400000" algn="t" rotWithShape="0">
                  <a:prstClr val="black">
                    <a:alpha val="40000"/>
                  </a:prstClr>
                </a:outerShdw>
              </a:effectLst>
            </a:rPr>
            <a:t>👚</a:t>
          </a:r>
          <a:r>
            <a:rPr lang="en-US" sz="1100">
              <a:solidFill>
                <a:schemeClr val="bg1"/>
              </a:solidFill>
              <a:effectLst>
                <a:outerShdw blurRad="50800" dist="38100" dir="5400000" algn="t" rotWithShape="0">
                  <a:prstClr val="black">
                    <a:alpha val="40000"/>
                  </a:prstClr>
                </a:outerShdw>
              </a:effectLst>
              <a:latin typeface="+mn-lt"/>
              <a:ea typeface="+mn-ea"/>
              <a:cs typeface="+mn-cs"/>
            </a:rPr>
            <a:t>Quantity</a:t>
          </a:r>
        </a:p>
        <a:p>
          <a:endParaRPr lang="en-US" sz="1100"/>
        </a:p>
        <a:p>
          <a:endParaRPr lang="en-US" sz="1100"/>
        </a:p>
        <a:p>
          <a:endParaRPr lang="en-US" sz="1100"/>
        </a:p>
        <a:p>
          <a:endParaRPr lang="en-IN" sz="1100"/>
        </a:p>
      </xdr:txBody>
    </xdr:sp>
    <xdr:clientData/>
  </xdr:twoCellAnchor>
  <xdr:twoCellAnchor>
    <xdr:from>
      <xdr:col>0</xdr:col>
      <xdr:colOff>76200</xdr:colOff>
      <xdr:row>8</xdr:row>
      <xdr:rowOff>164044</xdr:rowOff>
    </xdr:from>
    <xdr:to>
      <xdr:col>1</xdr:col>
      <xdr:colOff>638175</xdr:colOff>
      <xdr:row>10</xdr:row>
      <xdr:rowOff>49744</xdr:rowOff>
    </xdr:to>
    <xdr:sp macro="" textlink="">
      <xdr:nvSpPr>
        <xdr:cNvPr id="14" name="TextBox 13">
          <a:extLst>
            <a:ext uri="{FF2B5EF4-FFF2-40B4-BE49-F238E27FC236}">
              <a16:creationId xmlns:a16="http://schemas.microsoft.com/office/drawing/2014/main" id="{E6AE5908-686C-4377-A492-EA625CCD9505}"/>
            </a:ext>
          </a:extLst>
        </xdr:cNvPr>
        <xdr:cNvSpPr txBox="1"/>
      </xdr:nvSpPr>
      <xdr:spPr>
        <a:xfrm>
          <a:off x="76200" y="1611844"/>
          <a:ext cx="9239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effectLst>
                <a:outerShdw blurRad="50800" dist="38100" dir="5400000" algn="t" rotWithShape="0">
                  <a:prstClr val="black">
                    <a:alpha val="40000"/>
                  </a:prstClr>
                </a:outerShdw>
              </a:effectLst>
            </a:rPr>
            <a:t>💰</a:t>
          </a:r>
          <a:r>
            <a:rPr lang="en-US" sz="1100">
              <a:solidFill>
                <a:schemeClr val="bg1"/>
              </a:solidFill>
              <a:effectLst>
                <a:outerShdw blurRad="50800" dist="38100" dir="5400000" algn="t" rotWithShape="0">
                  <a:prstClr val="black">
                    <a:alpha val="40000"/>
                  </a:prstClr>
                </a:outerShdw>
              </a:effectLst>
              <a:latin typeface="+mn-lt"/>
              <a:ea typeface="+mn-ea"/>
              <a:cs typeface="+mn-cs"/>
            </a:rPr>
            <a:t>Amount</a:t>
          </a:r>
        </a:p>
        <a:p>
          <a:endParaRPr lang="en-US" sz="1100"/>
        </a:p>
        <a:p>
          <a:endParaRPr lang="en-US" sz="1100"/>
        </a:p>
        <a:p>
          <a:endParaRPr lang="en-US" sz="1100"/>
        </a:p>
        <a:p>
          <a:endParaRPr lang="en-IN" sz="1100"/>
        </a:p>
      </xdr:txBody>
    </xdr:sp>
    <xdr:clientData/>
  </xdr:twoCellAnchor>
  <xdr:twoCellAnchor>
    <xdr:from>
      <xdr:col>0</xdr:col>
      <xdr:colOff>76200</xdr:colOff>
      <xdr:row>12</xdr:row>
      <xdr:rowOff>136528</xdr:rowOff>
    </xdr:from>
    <xdr:to>
      <xdr:col>1</xdr:col>
      <xdr:colOff>790575</xdr:colOff>
      <xdr:row>14</xdr:row>
      <xdr:rowOff>22228</xdr:rowOff>
    </xdr:to>
    <xdr:sp macro="" textlink="">
      <xdr:nvSpPr>
        <xdr:cNvPr id="15" name="TextBox 14">
          <a:extLst>
            <a:ext uri="{FF2B5EF4-FFF2-40B4-BE49-F238E27FC236}">
              <a16:creationId xmlns:a16="http://schemas.microsoft.com/office/drawing/2014/main" id="{F8098309-0DE1-4B56-AC67-F24B26231F0E}"/>
            </a:ext>
          </a:extLst>
        </xdr:cNvPr>
        <xdr:cNvSpPr txBox="1"/>
      </xdr:nvSpPr>
      <xdr:spPr>
        <a:xfrm>
          <a:off x="76200" y="2308228"/>
          <a:ext cx="10763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effectLst>
                <a:outerShdw blurRad="50800" dist="38100" dir="5400000" algn="t" rotWithShape="0">
                  <a:prstClr val="black">
                    <a:alpha val="40000"/>
                  </a:prstClr>
                </a:outerShdw>
              </a:effectLst>
            </a:rPr>
            <a:t>⭐</a:t>
          </a:r>
          <a:r>
            <a:rPr lang="en-US" sz="1100">
              <a:solidFill>
                <a:schemeClr val="bg1"/>
              </a:solidFill>
              <a:effectLst>
                <a:outerShdw blurRad="50800" dist="38100" dir="5400000" algn="t" rotWithShape="0">
                  <a:prstClr val="black">
                    <a:alpha val="40000"/>
                  </a:prstClr>
                </a:outerShdw>
              </a:effectLst>
              <a:latin typeface="+mn-lt"/>
              <a:ea typeface="+mn-ea"/>
              <a:cs typeface="+mn-cs"/>
            </a:rPr>
            <a:t>Avg</a:t>
          </a:r>
          <a:r>
            <a:rPr lang="en-US" sz="1100">
              <a:solidFill>
                <a:schemeClr val="bg1">
                  <a:lumMod val="75000"/>
                </a:schemeClr>
              </a:solidFill>
              <a:effectLst>
                <a:outerShdw blurRad="50800" dist="38100" dir="5400000" algn="t" rotWithShape="0">
                  <a:prstClr val="black">
                    <a:alpha val="40000"/>
                  </a:prstClr>
                </a:outerShdw>
              </a:effectLst>
            </a:rPr>
            <a:t>.</a:t>
          </a:r>
          <a:r>
            <a:rPr lang="en-US" sz="1100">
              <a:solidFill>
                <a:schemeClr val="bg1"/>
              </a:solidFill>
              <a:effectLst>
                <a:outerShdw blurRad="50800" dist="38100" dir="5400000" algn="t" rotWithShape="0">
                  <a:prstClr val="black">
                    <a:alpha val="40000"/>
                  </a:prstClr>
                </a:outerShdw>
              </a:effectLst>
              <a:latin typeface="+mn-lt"/>
              <a:ea typeface="+mn-ea"/>
              <a:cs typeface="+mn-cs"/>
            </a:rPr>
            <a:t>Rating</a:t>
          </a:r>
        </a:p>
        <a:p>
          <a:endParaRPr lang="en-US" sz="1100"/>
        </a:p>
        <a:p>
          <a:endParaRPr lang="en-US" sz="1100"/>
        </a:p>
        <a:p>
          <a:endParaRPr lang="en-US" sz="1100"/>
        </a:p>
        <a:p>
          <a:endParaRPr lang="en-IN" sz="1100"/>
        </a:p>
      </xdr:txBody>
    </xdr:sp>
    <xdr:clientData/>
  </xdr:twoCellAnchor>
  <xdr:twoCellAnchor>
    <xdr:from>
      <xdr:col>0</xdr:col>
      <xdr:colOff>76200</xdr:colOff>
      <xdr:row>16</xdr:row>
      <xdr:rowOff>109012</xdr:rowOff>
    </xdr:from>
    <xdr:to>
      <xdr:col>2</xdr:col>
      <xdr:colOff>38100</xdr:colOff>
      <xdr:row>17</xdr:row>
      <xdr:rowOff>175687</xdr:rowOff>
    </xdr:to>
    <xdr:sp macro="" textlink="">
      <xdr:nvSpPr>
        <xdr:cNvPr id="16" name="TextBox 15">
          <a:extLst>
            <a:ext uri="{FF2B5EF4-FFF2-40B4-BE49-F238E27FC236}">
              <a16:creationId xmlns:a16="http://schemas.microsoft.com/office/drawing/2014/main" id="{2AE6723D-4BDD-4C0F-8083-0A8ED4FC5B74}"/>
            </a:ext>
          </a:extLst>
        </xdr:cNvPr>
        <xdr:cNvSpPr txBox="1"/>
      </xdr:nvSpPr>
      <xdr:spPr>
        <a:xfrm>
          <a:off x="76200" y="3004612"/>
          <a:ext cx="1390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effectLst>
                <a:outerShdw blurRad="50800" dist="38100" dir="5400000" algn="t" rotWithShape="0">
                  <a:prstClr val="black">
                    <a:alpha val="40000"/>
                  </a:prstClr>
                </a:outerShdw>
              </a:effectLst>
            </a:rPr>
            <a:t>📆 </a:t>
          </a:r>
          <a:r>
            <a:rPr lang="en-US" sz="1100">
              <a:solidFill>
                <a:schemeClr val="bg1"/>
              </a:solidFill>
              <a:effectLst>
                <a:outerShdw blurRad="50800" dist="38100" dir="5400000" algn="t" rotWithShape="0">
                  <a:prstClr val="black">
                    <a:alpha val="40000"/>
                  </a:prstClr>
                </a:outerShdw>
              </a:effectLst>
              <a:latin typeface="+mn-lt"/>
              <a:ea typeface="+mn-ea"/>
              <a:cs typeface="+mn-cs"/>
            </a:rPr>
            <a:t>Day to Deliver</a:t>
          </a:r>
        </a:p>
        <a:p>
          <a:endParaRPr lang="en-US" sz="1100"/>
        </a:p>
        <a:p>
          <a:endParaRPr lang="en-US" sz="1100"/>
        </a:p>
        <a:p>
          <a:endParaRPr lang="en-US" sz="1100"/>
        </a:p>
        <a:p>
          <a:endParaRPr lang="en-IN" sz="1100"/>
        </a:p>
      </xdr:txBody>
    </xdr:sp>
    <xdr:clientData/>
  </xdr:twoCellAnchor>
  <xdr:twoCellAnchor>
    <xdr:from>
      <xdr:col>3</xdr:col>
      <xdr:colOff>112619</xdr:colOff>
      <xdr:row>2</xdr:row>
      <xdr:rowOff>87545</xdr:rowOff>
    </xdr:from>
    <xdr:to>
      <xdr:col>9</xdr:col>
      <xdr:colOff>504264</xdr:colOff>
      <xdr:row>15</xdr:row>
      <xdr:rowOff>172571</xdr:rowOff>
    </xdr:to>
    <xdr:graphicFrame macro="">
      <xdr:nvGraphicFramePr>
        <xdr:cNvPr id="18" name="Chart 17">
          <a:extLst>
            <a:ext uri="{FF2B5EF4-FFF2-40B4-BE49-F238E27FC236}">
              <a16:creationId xmlns:a16="http://schemas.microsoft.com/office/drawing/2014/main" id="{51FD1275-0F28-4505-8474-0B9EC708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642938</xdr:colOff>
      <xdr:row>2</xdr:row>
      <xdr:rowOff>97071</xdr:rowOff>
    </xdr:from>
    <xdr:to>
      <xdr:col>15</xdr:col>
      <xdr:colOff>624728</xdr:colOff>
      <xdr:row>16</xdr:row>
      <xdr:rowOff>3503</xdr:rowOff>
    </xdr:to>
    <xdr:sp macro="" textlink="">
      <xdr:nvSpPr>
        <xdr:cNvPr id="23" name="Rectangle 22">
          <a:extLst>
            <a:ext uri="{FF2B5EF4-FFF2-40B4-BE49-F238E27FC236}">
              <a16:creationId xmlns:a16="http://schemas.microsoft.com/office/drawing/2014/main" id="{7C202232-F5A3-43FC-BEF1-41855D6D6FC8}"/>
            </a:ext>
          </a:extLst>
        </xdr:cNvPr>
        <xdr:cNvSpPr/>
      </xdr:nvSpPr>
      <xdr:spPr>
        <a:xfrm>
          <a:off x="6524626" y="454259"/>
          <a:ext cx="4125165" cy="2406744"/>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   </a:t>
          </a:r>
          <a:r>
            <a:rPr lang="en-IN" sz="1200" b="1" baseline="0">
              <a:solidFill>
                <a:schemeClr val="tx1"/>
              </a:solidFill>
            </a:rPr>
            <a:t>How they like to buy?</a:t>
          </a:r>
          <a:endParaRPr lang="en-IN" sz="1200" b="1"/>
        </a:p>
      </xdr:txBody>
    </xdr:sp>
    <xdr:clientData/>
  </xdr:twoCellAnchor>
  <mc:AlternateContent xmlns:mc="http://schemas.openxmlformats.org/markup-compatibility/2006">
    <mc:Choice xmlns:a14="http://schemas.microsoft.com/office/drawing/2010/main" Requires="a14">
      <xdr:twoCellAnchor editAs="oneCell">
        <xdr:from>
          <xdr:col>10</xdr:col>
          <xdr:colOff>428905</xdr:colOff>
          <xdr:row>4</xdr:row>
          <xdr:rowOff>152820</xdr:rowOff>
        </xdr:from>
        <xdr:to>
          <xdr:col>15</xdr:col>
          <xdr:colOff>199246</xdr:colOff>
          <xdr:row>14</xdr:row>
          <xdr:rowOff>12326</xdr:rowOff>
        </xdr:to>
        <xdr:pic>
          <xdr:nvPicPr>
            <xdr:cNvPr id="21" name="Picture 20">
              <a:extLst>
                <a:ext uri="{FF2B5EF4-FFF2-40B4-BE49-F238E27FC236}">
                  <a16:creationId xmlns:a16="http://schemas.microsoft.com/office/drawing/2014/main" id="{9CB23F81-B371-4BAD-9CBC-A2C08D663C42}"/>
                </a:ext>
              </a:extLst>
            </xdr:cNvPr>
            <xdr:cNvPicPr>
              <a:picLocks noChangeAspect="1" noChangeArrowheads="1"/>
              <a:extLst>
                <a:ext uri="{84589F7E-364E-4C9E-8A38-B11213B215E9}">
                  <a14:cameraTool cellRange="order_mode!$H$4:$L$9" spid="_x0000_s3119"/>
                </a:ext>
              </a:extLst>
            </xdr:cNvPicPr>
          </xdr:nvPicPr>
          <xdr:blipFill>
            <a:blip xmlns:r="http://schemas.openxmlformats.org/officeDocument/2006/relationships" r:embed="rId2"/>
            <a:srcRect/>
            <a:stretch>
              <a:fillRect/>
            </a:stretch>
          </xdr:blipFill>
          <xdr:spPr bwMode="auto">
            <a:xfrm>
              <a:off x="7001155" y="867195"/>
              <a:ext cx="3223154" cy="164544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122004</xdr:colOff>
      <xdr:row>2</xdr:row>
      <xdr:rowOff>71578</xdr:rowOff>
    </xdr:from>
    <xdr:to>
      <xdr:col>21</xdr:col>
      <xdr:colOff>593211</xdr:colOff>
      <xdr:row>15</xdr:row>
      <xdr:rowOff>156604</xdr:rowOff>
    </xdr:to>
    <xdr:graphicFrame macro="">
      <xdr:nvGraphicFramePr>
        <xdr:cNvPr id="24" name="Chart 23">
          <a:extLst>
            <a:ext uri="{FF2B5EF4-FFF2-40B4-BE49-F238E27FC236}">
              <a16:creationId xmlns:a16="http://schemas.microsoft.com/office/drawing/2014/main" id="{607E7BA5-9D95-45AD-B7D3-6166EE37B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112061</xdr:colOff>
      <xdr:row>16</xdr:row>
      <xdr:rowOff>49028</xdr:rowOff>
    </xdr:from>
    <xdr:to>
      <xdr:col>9</xdr:col>
      <xdr:colOff>504265</xdr:colOff>
      <xdr:row>42</xdr:row>
      <xdr:rowOff>107155</xdr:rowOff>
    </xdr:to>
    <xdr:graphicFrame macro="">
      <xdr:nvGraphicFramePr>
        <xdr:cNvPr id="25" name="Chart 24">
          <a:extLst>
            <a:ext uri="{FF2B5EF4-FFF2-40B4-BE49-F238E27FC236}">
              <a16:creationId xmlns:a16="http://schemas.microsoft.com/office/drawing/2014/main" id="{D711616A-9A93-4DBA-B65E-5CA16E5C1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684960</xdr:colOff>
      <xdr:row>29</xdr:row>
      <xdr:rowOff>59531</xdr:rowOff>
    </xdr:from>
    <xdr:to>
      <xdr:col>7</xdr:col>
      <xdr:colOff>606519</xdr:colOff>
      <xdr:row>40</xdr:row>
      <xdr:rowOff>15407</xdr:rowOff>
    </xdr:to>
    <xdr:graphicFrame macro="">
      <xdr:nvGraphicFramePr>
        <xdr:cNvPr id="26" name="Chart 25">
          <a:extLst>
            <a:ext uri="{FF2B5EF4-FFF2-40B4-BE49-F238E27FC236}">
              <a16:creationId xmlns:a16="http://schemas.microsoft.com/office/drawing/2014/main" id="{7C595279-8AFA-4648-BA86-47BF233A1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631033</xdr:colOff>
      <xdr:row>16</xdr:row>
      <xdr:rowOff>72838</xdr:rowOff>
    </xdr:from>
    <xdr:to>
      <xdr:col>15</xdr:col>
      <xdr:colOff>642236</xdr:colOff>
      <xdr:row>42</xdr:row>
      <xdr:rowOff>119061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4B4335E4-66C7-4518-A8C8-2C7CB9C204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12721" y="2930338"/>
              <a:ext cx="4154578" cy="46896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369794</xdr:colOff>
      <xdr:row>20</xdr:row>
      <xdr:rowOff>158564</xdr:rowOff>
    </xdr:from>
    <xdr:to>
      <xdr:col>15</xdr:col>
      <xdr:colOff>649941</xdr:colOff>
      <xdr:row>30</xdr:row>
      <xdr:rowOff>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306EFAB3-4CA4-4E7E-86F3-A9BDFBC27B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31088" y="3744446"/>
              <a:ext cx="1647265" cy="16343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98753</xdr:colOff>
      <xdr:row>16</xdr:row>
      <xdr:rowOff>82643</xdr:rowOff>
    </xdr:from>
    <xdr:to>
      <xdr:col>21</xdr:col>
      <xdr:colOff>591811</xdr:colOff>
      <xdr:row>29</xdr:row>
      <xdr:rowOff>107156</xdr:rowOff>
    </xdr:to>
    <xdr:graphicFrame macro="">
      <xdr:nvGraphicFramePr>
        <xdr:cNvPr id="30" name="Chart 29">
          <a:extLst>
            <a:ext uri="{FF2B5EF4-FFF2-40B4-BE49-F238E27FC236}">
              <a16:creationId xmlns:a16="http://schemas.microsoft.com/office/drawing/2014/main" id="{416AB6E7-6AF1-43A9-B6D8-3E9F352DA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111358</xdr:colOff>
      <xdr:row>30</xdr:row>
      <xdr:rowOff>19607</xdr:rowOff>
    </xdr:from>
    <xdr:to>
      <xdr:col>21</xdr:col>
      <xdr:colOff>604417</xdr:colOff>
      <xdr:row>42</xdr:row>
      <xdr:rowOff>95248</xdr:rowOff>
    </xdr:to>
    <xdr:graphicFrame macro="">
      <xdr:nvGraphicFramePr>
        <xdr:cNvPr id="28" name="Chart 27">
          <a:extLst>
            <a:ext uri="{FF2B5EF4-FFF2-40B4-BE49-F238E27FC236}">
              <a16:creationId xmlns:a16="http://schemas.microsoft.com/office/drawing/2014/main" id="{50DF7B89-EA3A-4C49-B2ED-42C334F81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123266</xdr:colOff>
      <xdr:row>20</xdr:row>
      <xdr:rowOff>100852</xdr:rowOff>
    </xdr:from>
    <xdr:to>
      <xdr:col>2</xdr:col>
      <xdr:colOff>179294</xdr:colOff>
      <xdr:row>31</xdr:row>
      <xdr:rowOff>11906</xdr:rowOff>
    </xdr:to>
    <mc:AlternateContent xmlns:mc="http://schemas.openxmlformats.org/markup-compatibility/2006">
      <mc:Choice xmlns:a14="http://schemas.microsoft.com/office/drawing/2010/main" Requires="a14">
        <xdr:graphicFrame macro="">
          <xdr:nvGraphicFramePr>
            <xdr:cNvPr id="31" name="Order Mode">
              <a:extLst>
                <a:ext uri="{FF2B5EF4-FFF2-40B4-BE49-F238E27FC236}">
                  <a16:creationId xmlns:a16="http://schemas.microsoft.com/office/drawing/2014/main" id="{CF119FC4-9556-420B-93B4-FA565174047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23266" y="3672727"/>
              <a:ext cx="1484778" cy="1875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134471</xdr:colOff>
      <xdr:row>31</xdr:row>
      <xdr:rowOff>121865</xdr:rowOff>
    </xdr:from>
    <xdr:to>
      <xdr:col>2</xdr:col>
      <xdr:colOff>156882</xdr:colOff>
      <xdr:row>40</xdr:row>
      <xdr:rowOff>83344</xdr:rowOff>
    </xdr:to>
    <mc:AlternateContent xmlns:mc="http://schemas.openxmlformats.org/markup-compatibility/2006">
      <mc:Choice xmlns:a14="http://schemas.microsoft.com/office/drawing/2010/main" Requires="a14">
        <xdr:graphicFrame macro="">
          <xdr:nvGraphicFramePr>
            <xdr:cNvPr id="32" name="Gender Value 1">
              <a:extLst>
                <a:ext uri="{FF2B5EF4-FFF2-40B4-BE49-F238E27FC236}">
                  <a16:creationId xmlns:a16="http://schemas.microsoft.com/office/drawing/2014/main" id="{33D1F248-BD23-4ACB-B51F-A968BA6091DB}"/>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134471" y="5658271"/>
              <a:ext cx="1451161" cy="1568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156882</xdr:colOff>
      <xdr:row>4</xdr:row>
      <xdr:rowOff>123265</xdr:rowOff>
    </xdr:from>
    <xdr:to>
      <xdr:col>1</xdr:col>
      <xdr:colOff>1030941</xdr:colOff>
      <xdr:row>4</xdr:row>
      <xdr:rowOff>134471</xdr:rowOff>
    </xdr:to>
    <xdr:cxnSp macro="">
      <xdr:nvCxnSpPr>
        <xdr:cNvPr id="12" name="Straight Connector 11">
          <a:extLst>
            <a:ext uri="{FF2B5EF4-FFF2-40B4-BE49-F238E27FC236}">
              <a16:creationId xmlns:a16="http://schemas.microsoft.com/office/drawing/2014/main" id="{5B313CAF-1215-46F7-A626-0C91A2343BDC}"/>
            </a:ext>
          </a:extLst>
        </xdr:cNvPr>
        <xdr:cNvCxnSpPr/>
      </xdr:nvCxnSpPr>
      <xdr:spPr>
        <a:xfrm flipV="1">
          <a:off x="156882" y="840441"/>
          <a:ext cx="1232647" cy="1120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165847</xdr:colOff>
      <xdr:row>8</xdr:row>
      <xdr:rowOff>139142</xdr:rowOff>
    </xdr:from>
    <xdr:to>
      <xdr:col>1</xdr:col>
      <xdr:colOff>1039906</xdr:colOff>
      <xdr:row>8</xdr:row>
      <xdr:rowOff>150348</xdr:rowOff>
    </xdr:to>
    <xdr:cxnSp macro="">
      <xdr:nvCxnSpPr>
        <xdr:cNvPr id="33" name="Straight Connector 32">
          <a:extLst>
            <a:ext uri="{FF2B5EF4-FFF2-40B4-BE49-F238E27FC236}">
              <a16:creationId xmlns:a16="http://schemas.microsoft.com/office/drawing/2014/main" id="{F14FA674-F299-4215-ADDA-DE490B082781}"/>
            </a:ext>
          </a:extLst>
        </xdr:cNvPr>
        <xdr:cNvCxnSpPr/>
      </xdr:nvCxnSpPr>
      <xdr:spPr>
        <a:xfrm flipV="1">
          <a:off x="165847" y="1573495"/>
          <a:ext cx="1232647" cy="1120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177052</xdr:colOff>
      <xdr:row>12</xdr:row>
      <xdr:rowOff>107143</xdr:rowOff>
    </xdr:from>
    <xdr:to>
      <xdr:col>1</xdr:col>
      <xdr:colOff>1051111</xdr:colOff>
      <xdr:row>12</xdr:row>
      <xdr:rowOff>118349</xdr:rowOff>
    </xdr:to>
    <xdr:cxnSp macro="">
      <xdr:nvCxnSpPr>
        <xdr:cNvPr id="34" name="Straight Connector 33">
          <a:extLst>
            <a:ext uri="{FF2B5EF4-FFF2-40B4-BE49-F238E27FC236}">
              <a16:creationId xmlns:a16="http://schemas.microsoft.com/office/drawing/2014/main" id="{C946091D-D60C-4110-BFA0-DBB96DEFA54C}"/>
            </a:ext>
          </a:extLst>
        </xdr:cNvPr>
        <xdr:cNvCxnSpPr/>
      </xdr:nvCxnSpPr>
      <xdr:spPr>
        <a:xfrm flipV="1">
          <a:off x="177052" y="2258672"/>
          <a:ext cx="1232647" cy="1120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172571</xdr:colOff>
      <xdr:row>16</xdr:row>
      <xdr:rowOff>35425</xdr:rowOff>
    </xdr:from>
    <xdr:to>
      <xdr:col>1</xdr:col>
      <xdr:colOff>1046630</xdr:colOff>
      <xdr:row>16</xdr:row>
      <xdr:rowOff>46631</xdr:rowOff>
    </xdr:to>
    <xdr:cxnSp macro="">
      <xdr:nvCxnSpPr>
        <xdr:cNvPr id="35" name="Straight Connector 34">
          <a:extLst>
            <a:ext uri="{FF2B5EF4-FFF2-40B4-BE49-F238E27FC236}">
              <a16:creationId xmlns:a16="http://schemas.microsoft.com/office/drawing/2014/main" id="{ECEF79AC-8447-4C5A-A928-FBCA6CF7A564}"/>
            </a:ext>
          </a:extLst>
        </xdr:cNvPr>
        <xdr:cNvCxnSpPr/>
      </xdr:nvCxnSpPr>
      <xdr:spPr>
        <a:xfrm flipV="1">
          <a:off x="172571" y="2904131"/>
          <a:ext cx="1232647" cy="1120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369093</xdr:colOff>
      <xdr:row>0</xdr:row>
      <xdr:rowOff>59531</xdr:rowOff>
    </xdr:from>
    <xdr:to>
      <xdr:col>16</xdr:col>
      <xdr:colOff>297656</xdr:colOff>
      <xdr:row>2</xdr:row>
      <xdr:rowOff>11906</xdr:rowOff>
    </xdr:to>
    <xdr:sp macro="" textlink="">
      <xdr:nvSpPr>
        <xdr:cNvPr id="17" name="TextBox 16">
          <a:extLst>
            <a:ext uri="{FF2B5EF4-FFF2-40B4-BE49-F238E27FC236}">
              <a16:creationId xmlns:a16="http://schemas.microsoft.com/office/drawing/2014/main" id="{2DFDCC92-D8F8-441C-9294-7A9FDD5D20A7}"/>
            </a:ext>
          </a:extLst>
        </xdr:cNvPr>
        <xdr:cNvSpPr txBox="1"/>
      </xdr:nvSpPr>
      <xdr:spPr>
        <a:xfrm>
          <a:off x="6250781" y="59531"/>
          <a:ext cx="4762500" cy="30956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mj-lt"/>
            </a:rPr>
            <a:t>E-Commerce Sales &amp; Customer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calUser" refreshedDate="46269.59495914352" createdVersion="7" refreshedVersion="7" minRefreshableVersion="3" recordCount="2400" xr:uid="{129A9583-2699-4605-B646-F30DBE033A8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487008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x v="0"/>
    <x v="0"/>
    <d v="2025-01-06T00:00:00"/>
    <s v=""/>
    <x v="0"/>
    <x v="0"/>
    <x v="0"/>
    <x v="0"/>
    <x v="0"/>
    <x v="0"/>
    <x v="0"/>
  </r>
  <r>
    <s v="TX500002"/>
    <x v="1"/>
    <x v="1"/>
    <n v="30.6"/>
    <x v="1"/>
    <x v="0"/>
    <d v="2025-01-03T00:00:00"/>
    <s v="M"/>
    <x v="0"/>
    <x v="0"/>
    <x v="0"/>
    <x v="1"/>
    <x v="1"/>
    <x v="0"/>
    <x v="1"/>
  </r>
  <r>
    <s v="TX500003"/>
    <x v="2"/>
    <x v="2"/>
    <n v="109.4"/>
    <x v="2"/>
    <x v="0"/>
    <d v="2025-01-04T00:00:00"/>
    <s v="F"/>
    <x v="0"/>
    <x v="1"/>
    <x v="0"/>
    <x v="2"/>
    <x v="2"/>
    <x v="0"/>
    <x v="2"/>
  </r>
  <r>
    <s v="TX500004"/>
    <x v="3"/>
    <x v="3"/>
    <n v="37.700000000000003"/>
    <x v="3"/>
    <x v="0"/>
    <d v="2025-01-02T00:00:00"/>
    <s v="F"/>
    <x v="0"/>
    <x v="0"/>
    <x v="0"/>
    <x v="2"/>
    <x v="3"/>
    <x v="0"/>
    <x v="2"/>
  </r>
  <r>
    <s v="TX500005"/>
    <x v="4"/>
    <x v="2"/>
    <n v="56.7"/>
    <x v="4"/>
    <x v="0"/>
    <d v="2025-01-04T00:00:00"/>
    <s v="F"/>
    <x v="0"/>
    <x v="2"/>
    <x v="0"/>
    <x v="3"/>
    <x v="2"/>
    <x v="0"/>
    <x v="2"/>
  </r>
  <r>
    <s v="TX500006"/>
    <x v="1"/>
    <x v="4"/>
    <n v="83.5"/>
    <x v="5"/>
    <x v="0"/>
    <d v="2025-01-04T00:00:00"/>
    <s v="M"/>
    <x v="1"/>
    <x v="0"/>
    <x v="0"/>
    <x v="3"/>
    <x v="2"/>
    <x v="0"/>
    <x v="1"/>
  </r>
  <r>
    <s v="TX500007"/>
    <x v="5"/>
    <x v="0"/>
    <n v="55.3"/>
    <x v="6"/>
    <x v="0"/>
    <d v="2025-01-02T00:00:00"/>
    <s v="F"/>
    <x v="0"/>
    <x v="0"/>
    <x v="0"/>
    <x v="3"/>
    <x v="3"/>
    <x v="0"/>
    <x v="2"/>
  </r>
  <r>
    <s v="TX500008"/>
    <x v="6"/>
    <x v="1"/>
    <n v="40.299999999999997"/>
    <x v="7"/>
    <x v="0"/>
    <d v="2025-01-02T00:00:00"/>
    <s v="M"/>
    <x v="2"/>
    <x v="2"/>
    <x v="0"/>
    <x v="3"/>
    <x v="3"/>
    <x v="0"/>
    <x v="1"/>
  </r>
  <r>
    <s v="TX500009"/>
    <x v="7"/>
    <x v="5"/>
    <n v="35.700000000000003"/>
    <x v="8"/>
    <x v="0"/>
    <d v="2025-01-02T00:00:00"/>
    <s v="F"/>
    <x v="0"/>
    <x v="0"/>
    <x v="0"/>
    <x v="3"/>
    <x v="3"/>
    <x v="0"/>
    <x v="2"/>
  </r>
  <r>
    <s v="TX500010"/>
    <x v="8"/>
    <x v="3"/>
    <n v="22.4"/>
    <x v="9"/>
    <x v="0"/>
    <d v="2025-01-04T00:00:00"/>
    <s v="M"/>
    <x v="0"/>
    <x v="1"/>
    <x v="0"/>
    <x v="3"/>
    <x v="2"/>
    <x v="0"/>
    <x v="1"/>
  </r>
  <r>
    <s v="TX500011"/>
    <x v="9"/>
    <x v="1"/>
    <n v="54.4"/>
    <x v="10"/>
    <x v="0"/>
    <d v="2025-01-07T00:00:00"/>
    <s v="F"/>
    <x v="0"/>
    <x v="0"/>
    <x v="0"/>
    <x v="3"/>
    <x v="4"/>
    <x v="0"/>
    <x v="2"/>
  </r>
  <r>
    <s v="TX500012"/>
    <x v="9"/>
    <x v="1"/>
    <n v="49"/>
    <x v="11"/>
    <x v="0"/>
    <d v="2025-01-03T00:00:00"/>
    <s v="F"/>
    <x v="2"/>
    <x v="1"/>
    <x v="0"/>
    <x v="3"/>
    <x v="1"/>
    <x v="0"/>
    <x v="2"/>
  </r>
  <r>
    <s v="TX500013"/>
    <x v="5"/>
    <x v="3"/>
    <n v="118.6"/>
    <x v="12"/>
    <x v="0"/>
    <d v="2025-01-05T00:00:00"/>
    <s v="F"/>
    <x v="1"/>
    <x v="0"/>
    <x v="0"/>
    <x v="4"/>
    <x v="5"/>
    <x v="0"/>
    <x v="2"/>
  </r>
  <r>
    <s v="TX500014"/>
    <x v="6"/>
    <x v="6"/>
    <n v="88.4"/>
    <x v="13"/>
    <x v="0"/>
    <d v="2025-01-08T00:00:00"/>
    <s v="M"/>
    <x v="3"/>
    <x v="0"/>
    <x v="0"/>
    <x v="5"/>
    <x v="6"/>
    <x v="0"/>
    <x v="1"/>
  </r>
  <r>
    <s v="TX500015"/>
    <x v="10"/>
    <x v="0"/>
    <n v="66.7"/>
    <x v="14"/>
    <x v="0"/>
    <d v="2025-01-04T00:00:00"/>
    <s v="M"/>
    <x v="0"/>
    <x v="0"/>
    <x v="0"/>
    <x v="6"/>
    <x v="2"/>
    <x v="0"/>
    <x v="1"/>
  </r>
  <r>
    <s v="TX500016"/>
    <x v="9"/>
    <x v="7"/>
    <n v="30.9"/>
    <x v="15"/>
    <x v="0"/>
    <d v="2025-01-02T00:00:00"/>
    <s v="M"/>
    <x v="1"/>
    <x v="2"/>
    <x v="0"/>
    <x v="6"/>
    <x v="3"/>
    <x v="0"/>
    <x v="1"/>
  </r>
  <r>
    <s v="TX500017"/>
    <x v="4"/>
    <x v="2"/>
    <n v="31.1"/>
    <x v="16"/>
    <x v="0"/>
    <d v="2025-01-02T00:00:00"/>
    <s v="F"/>
    <x v="0"/>
    <x v="1"/>
    <x v="0"/>
    <x v="6"/>
    <x v="3"/>
    <x v="0"/>
    <x v="2"/>
  </r>
  <r>
    <s v="TX500018"/>
    <x v="7"/>
    <x v="2"/>
    <n v="36.6"/>
    <x v="17"/>
    <x v="0"/>
    <d v="2025-01-04T00:00:00"/>
    <s v="F"/>
    <x v="0"/>
    <x v="0"/>
    <x v="0"/>
    <x v="7"/>
    <x v="2"/>
    <x v="0"/>
    <x v="2"/>
  </r>
  <r>
    <s v="TX500019"/>
    <x v="6"/>
    <x v="8"/>
    <n v="51.1"/>
    <x v="18"/>
    <x v="0"/>
    <d v="2025-01-04T00:00:00"/>
    <s v="F"/>
    <x v="2"/>
    <x v="3"/>
    <x v="0"/>
    <x v="7"/>
    <x v="2"/>
    <x v="0"/>
    <x v="2"/>
  </r>
  <r>
    <s v="TX500020"/>
    <x v="9"/>
    <x v="0"/>
    <n v="25.2"/>
    <x v="19"/>
    <x v="0"/>
    <d v="2025-01-02T00:00:00"/>
    <s v="F"/>
    <x v="1"/>
    <x v="2"/>
    <x v="0"/>
    <x v="8"/>
    <x v="3"/>
    <x v="0"/>
    <x v="2"/>
  </r>
  <r>
    <s v="TX500021"/>
    <x v="9"/>
    <x v="9"/>
    <n v="43.8"/>
    <x v="20"/>
    <x v="0"/>
    <d v="2025-01-04T00:00:00"/>
    <s v="F"/>
    <x v="2"/>
    <x v="0"/>
    <x v="0"/>
    <x v="8"/>
    <x v="2"/>
    <x v="0"/>
    <x v="2"/>
  </r>
  <r>
    <s v="TX500022"/>
    <x v="8"/>
    <x v="4"/>
    <n v="46.7"/>
    <x v="21"/>
    <x v="0"/>
    <d v="2025-01-02T00:00:00"/>
    <s v="F"/>
    <x v="1"/>
    <x v="1"/>
    <x v="0"/>
    <x v="8"/>
    <x v="3"/>
    <x v="0"/>
    <x v="2"/>
  </r>
  <r>
    <s v="TX500023"/>
    <x v="3"/>
    <x v="10"/>
    <n v="79.900000000000006"/>
    <x v="22"/>
    <x v="0"/>
    <d v="2025-01-02T00:00:00"/>
    <s v="M"/>
    <x v="0"/>
    <x v="2"/>
    <x v="0"/>
    <x v="8"/>
    <x v="3"/>
    <x v="0"/>
    <x v="1"/>
  </r>
  <r>
    <s v="TX500024"/>
    <x v="11"/>
    <x v="8"/>
    <n v="26.4"/>
    <x v="23"/>
    <x v="0"/>
    <d v="2025-01-02T00:00:00"/>
    <s v="F"/>
    <x v="3"/>
    <x v="0"/>
    <x v="0"/>
    <x v="8"/>
    <x v="3"/>
    <x v="0"/>
    <x v="2"/>
  </r>
  <r>
    <s v="TX500025"/>
    <x v="12"/>
    <x v="8"/>
    <n v="88.8"/>
    <x v="24"/>
    <x v="0"/>
    <d v="2025-01-02T00:00:00"/>
    <s v="F"/>
    <x v="4"/>
    <x v="0"/>
    <x v="0"/>
    <x v="8"/>
    <x v="3"/>
    <x v="0"/>
    <x v="2"/>
  </r>
  <r>
    <s v="TX500026"/>
    <x v="0"/>
    <x v="7"/>
    <n v="17.5"/>
    <x v="25"/>
    <x v="0"/>
    <d v="2025-01-02T00:00:00"/>
    <s v="F"/>
    <x v="2"/>
    <x v="0"/>
    <x v="0"/>
    <x v="9"/>
    <x v="3"/>
    <x v="0"/>
    <x v="2"/>
  </r>
  <r>
    <s v="TX500027"/>
    <x v="1"/>
    <x v="11"/>
    <n v="38.700000000000003"/>
    <x v="26"/>
    <x v="0"/>
    <d v="2025-01-04T00:00:00"/>
    <s v="M"/>
    <x v="1"/>
    <x v="0"/>
    <x v="0"/>
    <x v="10"/>
    <x v="2"/>
    <x v="0"/>
    <x v="1"/>
  </r>
  <r>
    <s v="TX500028"/>
    <x v="13"/>
    <x v="12"/>
    <n v="57.2"/>
    <x v="27"/>
    <x v="0"/>
    <d v="2025-01-03T00:00:00"/>
    <s v=""/>
    <x v="1"/>
    <x v="2"/>
    <x v="0"/>
    <x v="11"/>
    <x v="1"/>
    <x v="0"/>
    <x v="0"/>
  </r>
  <r>
    <s v="TX500029"/>
    <x v="6"/>
    <x v="9"/>
    <n v="50.9"/>
    <x v="28"/>
    <x v="0"/>
    <d v="2025-01-07T00:00:00"/>
    <s v=""/>
    <x v="1"/>
    <x v="2"/>
    <x v="0"/>
    <x v="12"/>
    <x v="4"/>
    <x v="0"/>
    <x v="0"/>
  </r>
  <r>
    <s v="TX500030"/>
    <x v="14"/>
    <x v="3"/>
    <n v="41"/>
    <x v="29"/>
    <x v="0"/>
    <d v="2025-01-05T00:00:00"/>
    <s v="F"/>
    <x v="1"/>
    <x v="0"/>
    <x v="0"/>
    <x v="13"/>
    <x v="5"/>
    <x v="0"/>
    <x v="2"/>
  </r>
  <r>
    <s v="TX500031"/>
    <x v="8"/>
    <x v="3"/>
    <n v="19.100000000000001"/>
    <x v="30"/>
    <x v="0"/>
    <d v="2025-01-05T00:00:00"/>
    <s v="M"/>
    <x v="0"/>
    <x v="2"/>
    <x v="0"/>
    <x v="14"/>
    <x v="5"/>
    <x v="0"/>
    <x v="1"/>
  </r>
  <r>
    <s v="TX500032"/>
    <x v="2"/>
    <x v="9"/>
    <n v="166.1"/>
    <x v="31"/>
    <x v="0"/>
    <d v="2025-01-04T00:00:00"/>
    <s v="M"/>
    <x v="0"/>
    <x v="0"/>
    <x v="0"/>
    <x v="15"/>
    <x v="2"/>
    <x v="0"/>
    <x v="1"/>
  </r>
  <r>
    <s v="TX500033"/>
    <x v="4"/>
    <x v="2"/>
    <n v="29.9"/>
    <x v="32"/>
    <x v="0"/>
    <d v="2025-01-02T00:00:00"/>
    <s v="M"/>
    <x v="3"/>
    <x v="0"/>
    <x v="0"/>
    <x v="3"/>
    <x v="3"/>
    <x v="0"/>
    <x v="1"/>
  </r>
  <r>
    <s v="TX500034"/>
    <x v="10"/>
    <x v="13"/>
    <n v="21.7"/>
    <x v="33"/>
    <x v="0"/>
    <d v="2025-01-03T00:00:00"/>
    <s v="O"/>
    <x v="2"/>
    <x v="2"/>
    <x v="0"/>
    <x v="3"/>
    <x v="1"/>
    <x v="0"/>
    <x v="3"/>
  </r>
  <r>
    <s v="TX500035"/>
    <x v="11"/>
    <x v="1"/>
    <n v="32"/>
    <x v="34"/>
    <x v="0"/>
    <d v="2025-01-04T00:00:00"/>
    <s v="M"/>
    <x v="0"/>
    <x v="2"/>
    <x v="0"/>
    <x v="3"/>
    <x v="2"/>
    <x v="0"/>
    <x v="1"/>
  </r>
  <r>
    <s v="TX500036"/>
    <x v="8"/>
    <x v="1"/>
    <n v="15.8"/>
    <x v="35"/>
    <x v="0"/>
    <d v="2025-01-02T00:00:00"/>
    <s v="M"/>
    <x v="4"/>
    <x v="2"/>
    <x v="0"/>
    <x v="3"/>
    <x v="3"/>
    <x v="0"/>
    <x v="1"/>
  </r>
  <r>
    <s v="TX500037"/>
    <x v="2"/>
    <x v="14"/>
    <n v="203.1"/>
    <x v="36"/>
    <x v="0"/>
    <d v="2025-01-05T00:00:00"/>
    <s v="M"/>
    <x v="3"/>
    <x v="1"/>
    <x v="0"/>
    <x v="3"/>
    <x v="5"/>
    <x v="0"/>
    <x v="1"/>
  </r>
  <r>
    <s v="TX500038"/>
    <x v="7"/>
    <x v="15"/>
    <n v="39"/>
    <x v="37"/>
    <x v="0"/>
    <d v="2025-01-07T00:00:00"/>
    <s v="M"/>
    <x v="0"/>
    <x v="2"/>
    <x v="0"/>
    <x v="3"/>
    <x v="4"/>
    <x v="0"/>
    <x v="1"/>
  </r>
  <r>
    <s v="TX500039"/>
    <x v="10"/>
    <x v="0"/>
    <n v="26.5"/>
    <x v="38"/>
    <x v="1"/>
    <d v="2025-01-03T00:00:00"/>
    <s v="M"/>
    <x v="2"/>
    <x v="0"/>
    <x v="0"/>
    <x v="3"/>
    <x v="3"/>
    <x v="0"/>
    <x v="1"/>
  </r>
  <r>
    <s v="TX500040"/>
    <x v="5"/>
    <x v="0"/>
    <n v="43.1"/>
    <x v="39"/>
    <x v="1"/>
    <d v="2025-01-03T00:00:00"/>
    <s v="F"/>
    <x v="2"/>
    <x v="1"/>
    <x v="0"/>
    <x v="3"/>
    <x v="3"/>
    <x v="0"/>
    <x v="2"/>
  </r>
  <r>
    <s v="TX500041"/>
    <x v="1"/>
    <x v="2"/>
    <n v="139"/>
    <x v="40"/>
    <x v="1"/>
    <d v="2025-01-03T00:00:00"/>
    <s v="F"/>
    <x v="4"/>
    <x v="2"/>
    <x v="0"/>
    <x v="3"/>
    <x v="3"/>
    <x v="0"/>
    <x v="2"/>
  </r>
  <r>
    <s v="TX500042"/>
    <x v="12"/>
    <x v="0"/>
    <n v="80.7"/>
    <x v="41"/>
    <x v="1"/>
    <d v="2025-01-03T00:00:00"/>
    <s v="M"/>
    <x v="0"/>
    <x v="2"/>
    <x v="0"/>
    <x v="16"/>
    <x v="3"/>
    <x v="0"/>
    <x v="1"/>
  </r>
  <r>
    <s v="TX500043"/>
    <x v="4"/>
    <x v="1"/>
    <n v="54.5"/>
    <x v="42"/>
    <x v="1"/>
    <d v="2025-01-04T00:00:00"/>
    <s v="M"/>
    <x v="1"/>
    <x v="1"/>
    <x v="0"/>
    <x v="6"/>
    <x v="1"/>
    <x v="0"/>
    <x v="1"/>
  </r>
  <r>
    <s v="TX500044"/>
    <x v="6"/>
    <x v="2"/>
    <n v="68.599999999999994"/>
    <x v="43"/>
    <x v="1"/>
    <d v="2025-01-02T00:00:00"/>
    <s v="F"/>
    <x v="0"/>
    <x v="1"/>
    <x v="0"/>
    <x v="8"/>
    <x v="7"/>
    <x v="0"/>
    <x v="2"/>
  </r>
  <r>
    <s v="TX500045"/>
    <x v="2"/>
    <x v="12"/>
    <n v="135.9"/>
    <x v="44"/>
    <x v="1"/>
    <d v="2025-01-03T00:00:00"/>
    <s v="F"/>
    <x v="2"/>
    <x v="2"/>
    <x v="0"/>
    <x v="8"/>
    <x v="3"/>
    <x v="0"/>
    <x v="2"/>
  </r>
  <r>
    <s v="TX500046"/>
    <x v="2"/>
    <x v="12"/>
    <n v="70.900000000000006"/>
    <x v="45"/>
    <x v="1"/>
    <d v="2025-01-03T00:00:00"/>
    <s v="F"/>
    <x v="0"/>
    <x v="0"/>
    <x v="0"/>
    <x v="17"/>
    <x v="3"/>
    <x v="0"/>
    <x v="2"/>
  </r>
  <r>
    <s v="TX500047"/>
    <x v="1"/>
    <x v="9"/>
    <n v="63.7"/>
    <x v="46"/>
    <x v="1"/>
    <d v="2025-01-03T00:00:00"/>
    <s v="M"/>
    <x v="1"/>
    <x v="1"/>
    <x v="0"/>
    <x v="9"/>
    <x v="3"/>
    <x v="0"/>
    <x v="1"/>
  </r>
  <r>
    <s v="TX500048"/>
    <x v="13"/>
    <x v="0"/>
    <n v="29.7"/>
    <x v="47"/>
    <x v="1"/>
    <d v="2025-01-04T00:00:00"/>
    <s v="F"/>
    <x v="1"/>
    <x v="0"/>
    <x v="0"/>
    <x v="11"/>
    <x v="1"/>
    <x v="0"/>
    <x v="2"/>
  </r>
  <r>
    <s v="TX500049"/>
    <x v="4"/>
    <x v="2"/>
    <n v="26.8"/>
    <x v="48"/>
    <x v="1"/>
    <d v="2025-01-11T00:00:00"/>
    <s v="F"/>
    <x v="1"/>
    <x v="2"/>
    <x v="0"/>
    <x v="11"/>
    <x v="8"/>
    <x v="0"/>
    <x v="2"/>
  </r>
  <r>
    <s v="TX500050"/>
    <x v="14"/>
    <x v="0"/>
    <n v="27"/>
    <x v="49"/>
    <x v="1"/>
    <d v="2025-01-04T00:00:00"/>
    <s v="F"/>
    <x v="0"/>
    <x v="0"/>
    <x v="0"/>
    <x v="18"/>
    <x v="1"/>
    <x v="0"/>
    <x v="2"/>
  </r>
  <r>
    <s v="TX500051"/>
    <x v="8"/>
    <x v="0"/>
    <n v="41.4"/>
    <x v="50"/>
    <x v="1"/>
    <d v="2025-01-03T00:00:00"/>
    <s v="M"/>
    <x v="1"/>
    <x v="2"/>
    <x v="0"/>
    <x v="19"/>
    <x v="3"/>
    <x v="0"/>
    <x v="1"/>
  </r>
  <r>
    <s v="TX500052"/>
    <x v="8"/>
    <x v="1"/>
    <n v="24.3"/>
    <x v="51"/>
    <x v="1"/>
    <d v="2025-01-05T00:00:00"/>
    <s v="F"/>
    <x v="1"/>
    <x v="0"/>
    <x v="0"/>
    <x v="19"/>
    <x v="2"/>
    <x v="0"/>
    <x v="2"/>
  </r>
  <r>
    <s v="TX500053"/>
    <x v="8"/>
    <x v="2"/>
    <n v="41.7"/>
    <x v="52"/>
    <x v="1"/>
    <d v="2025-01-04T00:00:00"/>
    <s v="M"/>
    <x v="0"/>
    <x v="2"/>
    <x v="0"/>
    <x v="20"/>
    <x v="1"/>
    <x v="0"/>
    <x v="1"/>
  </r>
  <r>
    <s v="TX500054"/>
    <x v="0"/>
    <x v="1"/>
    <n v="18"/>
    <x v="53"/>
    <x v="1"/>
    <d v="2025-01-03T00:00:00"/>
    <s v="F"/>
    <x v="0"/>
    <x v="2"/>
    <x v="0"/>
    <x v="21"/>
    <x v="3"/>
    <x v="0"/>
    <x v="2"/>
  </r>
  <r>
    <s v="TX500055"/>
    <x v="7"/>
    <x v="2"/>
    <n v="91.3"/>
    <x v="54"/>
    <x v="1"/>
    <d v="2025-01-05T00:00:00"/>
    <s v="M"/>
    <x v="2"/>
    <x v="2"/>
    <x v="0"/>
    <x v="3"/>
    <x v="2"/>
    <x v="0"/>
    <x v="1"/>
  </r>
  <r>
    <s v="TX500056"/>
    <x v="8"/>
    <x v="8"/>
    <n v="19.3"/>
    <x v="55"/>
    <x v="1"/>
    <d v="2025-01-03T00:00:00"/>
    <s v="M"/>
    <x v="0"/>
    <x v="0"/>
    <x v="0"/>
    <x v="3"/>
    <x v="3"/>
    <x v="0"/>
    <x v="1"/>
  </r>
  <r>
    <s v="TX500057"/>
    <x v="12"/>
    <x v="15"/>
    <n v="63.2"/>
    <x v="56"/>
    <x v="1"/>
    <d v="2025-01-03T00:00:00"/>
    <s v="F"/>
    <x v="0"/>
    <x v="0"/>
    <x v="0"/>
    <x v="3"/>
    <x v="3"/>
    <x v="0"/>
    <x v="2"/>
  </r>
  <r>
    <s v="TX500058"/>
    <x v="10"/>
    <x v="11"/>
    <n v="33.299999999999997"/>
    <x v="57"/>
    <x v="2"/>
    <d v="2025-01-11T00:00:00"/>
    <s v="F"/>
    <x v="0"/>
    <x v="2"/>
    <x v="0"/>
    <x v="3"/>
    <x v="9"/>
    <x v="0"/>
    <x v="2"/>
  </r>
  <r>
    <s v="TX500059"/>
    <x v="7"/>
    <x v="1"/>
    <n v="64.2"/>
    <x v="58"/>
    <x v="2"/>
    <d v="2025-01-04T00:00:00"/>
    <s v="M"/>
    <x v="0"/>
    <x v="2"/>
    <x v="0"/>
    <x v="3"/>
    <x v="3"/>
    <x v="0"/>
    <x v="1"/>
  </r>
  <r>
    <s v="TX500060"/>
    <x v="9"/>
    <x v="2"/>
    <n v="23.1"/>
    <x v="59"/>
    <x v="2"/>
    <d v="2025-01-06T00:00:00"/>
    <s v="F"/>
    <x v="1"/>
    <x v="2"/>
    <x v="0"/>
    <x v="3"/>
    <x v="2"/>
    <x v="0"/>
    <x v="2"/>
  </r>
  <r>
    <s v="TX500061"/>
    <x v="15"/>
    <x v="1"/>
    <n v="71.099999999999994"/>
    <x v="60"/>
    <x v="2"/>
    <d v="2025-01-05T00:00:00"/>
    <s v="F"/>
    <x v="3"/>
    <x v="1"/>
    <x v="0"/>
    <x v="3"/>
    <x v="1"/>
    <x v="0"/>
    <x v="2"/>
  </r>
  <r>
    <s v="TX500062"/>
    <x v="0"/>
    <x v="1"/>
    <n v="11.5"/>
    <x v="61"/>
    <x v="2"/>
    <d v="2025-01-04T00:00:00"/>
    <s v="F"/>
    <x v="0"/>
    <x v="0"/>
    <x v="0"/>
    <x v="3"/>
    <x v="3"/>
    <x v="0"/>
    <x v="2"/>
  </r>
  <r>
    <s v="TX500063"/>
    <x v="15"/>
    <x v="10"/>
    <n v="69.2"/>
    <x v="62"/>
    <x v="2"/>
    <d v="2025-01-08T00:00:00"/>
    <s v="F"/>
    <x v="0"/>
    <x v="0"/>
    <x v="0"/>
    <x v="3"/>
    <x v="0"/>
    <x v="0"/>
    <x v="2"/>
  </r>
  <r>
    <s v="TX500064"/>
    <x v="0"/>
    <x v="0"/>
    <n v="26.8"/>
    <x v="63"/>
    <x v="2"/>
    <d v="2025-01-04T00:00:00"/>
    <s v="M"/>
    <x v="2"/>
    <x v="4"/>
    <x v="0"/>
    <x v="3"/>
    <x v="3"/>
    <x v="0"/>
    <x v="1"/>
  </r>
  <r>
    <s v="TX500065"/>
    <x v="16"/>
    <x v="2"/>
    <n v="31.2"/>
    <x v="64"/>
    <x v="2"/>
    <d v="2025-01-06T00:00:00"/>
    <s v="F"/>
    <x v="0"/>
    <x v="0"/>
    <x v="0"/>
    <x v="3"/>
    <x v="2"/>
    <x v="0"/>
    <x v="2"/>
  </r>
  <r>
    <s v="TX500066"/>
    <x v="12"/>
    <x v="1"/>
    <n v="113.2"/>
    <x v="65"/>
    <x v="2"/>
    <d v="2025-01-04T00:00:00"/>
    <s v="F"/>
    <x v="4"/>
    <x v="0"/>
    <x v="0"/>
    <x v="3"/>
    <x v="3"/>
    <x v="0"/>
    <x v="2"/>
  </r>
  <r>
    <s v="TX500067"/>
    <x v="10"/>
    <x v="8"/>
    <n v="21"/>
    <x v="66"/>
    <x v="2"/>
    <d v="2025-01-04T00:00:00"/>
    <s v="M"/>
    <x v="0"/>
    <x v="0"/>
    <x v="0"/>
    <x v="6"/>
    <x v="3"/>
    <x v="0"/>
    <x v="1"/>
  </r>
  <r>
    <s v="TX500068"/>
    <x v="1"/>
    <x v="1"/>
    <n v="89.1"/>
    <x v="67"/>
    <x v="2"/>
    <d v="2025-01-04T00:00:00"/>
    <s v="F"/>
    <x v="2"/>
    <x v="2"/>
    <x v="0"/>
    <x v="6"/>
    <x v="3"/>
    <x v="0"/>
    <x v="2"/>
  </r>
  <r>
    <s v="TX500069"/>
    <x v="1"/>
    <x v="0"/>
    <n v="97.7"/>
    <x v="68"/>
    <x v="2"/>
    <d v="2025-01-05T00:00:00"/>
    <s v="F"/>
    <x v="0"/>
    <x v="1"/>
    <x v="0"/>
    <x v="6"/>
    <x v="1"/>
    <x v="0"/>
    <x v="2"/>
  </r>
  <r>
    <s v="TX500070"/>
    <x v="15"/>
    <x v="12"/>
    <n v="97.7"/>
    <x v="69"/>
    <x v="2"/>
    <d v="2025-01-05T00:00:00"/>
    <s v="M"/>
    <x v="3"/>
    <x v="0"/>
    <x v="0"/>
    <x v="6"/>
    <x v="1"/>
    <x v="0"/>
    <x v="1"/>
  </r>
  <r>
    <s v="TX500071"/>
    <x v="17"/>
    <x v="2"/>
    <n v="47.4"/>
    <x v="60"/>
    <x v="2"/>
    <d v="2025-01-06T00:00:00"/>
    <s v="M"/>
    <x v="3"/>
    <x v="2"/>
    <x v="0"/>
    <x v="8"/>
    <x v="2"/>
    <x v="0"/>
    <x v="1"/>
  </r>
  <r>
    <s v="TX500072"/>
    <x v="7"/>
    <x v="0"/>
    <n v="89.6"/>
    <x v="70"/>
    <x v="2"/>
    <d v="2025-01-06T00:00:00"/>
    <s v="F"/>
    <x v="0"/>
    <x v="2"/>
    <x v="0"/>
    <x v="8"/>
    <x v="2"/>
    <x v="0"/>
    <x v="2"/>
  </r>
  <r>
    <s v="TX500073"/>
    <x v="10"/>
    <x v="16"/>
    <n v="28.4"/>
    <x v="71"/>
    <x v="2"/>
    <d v="2025-01-06T00:00:00"/>
    <s v="F"/>
    <x v="3"/>
    <x v="2"/>
    <x v="0"/>
    <x v="17"/>
    <x v="2"/>
    <x v="0"/>
    <x v="2"/>
  </r>
  <r>
    <s v="TX500074"/>
    <x v="0"/>
    <x v="1"/>
    <n v="17.899999999999999"/>
    <x v="72"/>
    <x v="2"/>
    <d v="2025-01-04T00:00:00"/>
    <s v="F"/>
    <x v="0"/>
    <x v="2"/>
    <x v="0"/>
    <x v="9"/>
    <x v="3"/>
    <x v="0"/>
    <x v="2"/>
  </r>
  <r>
    <s v="TX500075"/>
    <x v="9"/>
    <x v="1"/>
    <n v="48.4"/>
    <x v="73"/>
    <x v="2"/>
    <d v="2025-01-06T00:00:00"/>
    <s v="M"/>
    <x v="1"/>
    <x v="0"/>
    <x v="0"/>
    <x v="9"/>
    <x v="2"/>
    <x v="0"/>
    <x v="1"/>
  </r>
  <r>
    <s v="TX500076"/>
    <x v="12"/>
    <x v="12"/>
    <n v="44.4"/>
    <x v="74"/>
    <x v="2"/>
    <d v="2025-01-04T00:00:00"/>
    <s v="O"/>
    <x v="1"/>
    <x v="1"/>
    <x v="0"/>
    <x v="11"/>
    <x v="3"/>
    <x v="0"/>
    <x v="3"/>
  </r>
  <r>
    <s v="TX500077"/>
    <x v="2"/>
    <x v="8"/>
    <n v="103.7"/>
    <x v="75"/>
    <x v="2"/>
    <d v="2025-01-04T00:00:00"/>
    <s v="F"/>
    <x v="0"/>
    <x v="1"/>
    <x v="0"/>
    <x v="19"/>
    <x v="3"/>
    <x v="0"/>
    <x v="2"/>
  </r>
  <r>
    <s v="TX500078"/>
    <x v="5"/>
    <x v="12"/>
    <n v="58.6"/>
    <x v="76"/>
    <x v="2"/>
    <d v="2025-01-05T00:00:00"/>
    <s v="M"/>
    <x v="3"/>
    <x v="0"/>
    <x v="0"/>
    <x v="19"/>
    <x v="1"/>
    <x v="0"/>
    <x v="1"/>
  </r>
  <r>
    <s v="TX500079"/>
    <x v="9"/>
    <x v="12"/>
    <n v="54.8"/>
    <x v="77"/>
    <x v="2"/>
    <d v="2025-01-07T00:00:00"/>
    <s v="F"/>
    <x v="2"/>
    <x v="1"/>
    <x v="0"/>
    <x v="13"/>
    <x v="5"/>
    <x v="0"/>
    <x v="2"/>
  </r>
  <r>
    <s v="TX500080"/>
    <x v="12"/>
    <x v="2"/>
    <n v="78.8"/>
    <x v="78"/>
    <x v="2"/>
    <d v="2025-01-09T00:00:00"/>
    <s v="F"/>
    <x v="4"/>
    <x v="1"/>
    <x v="0"/>
    <x v="21"/>
    <x v="4"/>
    <x v="0"/>
    <x v="2"/>
  </r>
  <r>
    <s v="TX500081"/>
    <x v="18"/>
    <x v="9"/>
    <n v="36.799999999999997"/>
    <x v="79"/>
    <x v="2"/>
    <d v="2025-01-06T00:00:00"/>
    <s v="M"/>
    <x v="4"/>
    <x v="1"/>
    <x v="0"/>
    <x v="22"/>
    <x v="2"/>
    <x v="0"/>
    <x v="1"/>
  </r>
  <r>
    <s v="TX500082"/>
    <x v="6"/>
    <x v="13"/>
    <n v="50.6"/>
    <x v="80"/>
    <x v="2"/>
    <d v="2025-01-05T00:00:00"/>
    <s v="F"/>
    <x v="3"/>
    <x v="0"/>
    <x v="0"/>
    <x v="3"/>
    <x v="1"/>
    <x v="0"/>
    <x v="2"/>
  </r>
  <r>
    <s v="TX500083"/>
    <x v="15"/>
    <x v="2"/>
    <n v="36.799999999999997"/>
    <x v="81"/>
    <x v="2"/>
    <d v="2025-01-03T00:00:00"/>
    <s v="M"/>
    <x v="2"/>
    <x v="1"/>
    <x v="0"/>
    <x v="3"/>
    <x v="7"/>
    <x v="0"/>
    <x v="1"/>
  </r>
  <r>
    <s v="TX500084"/>
    <x v="8"/>
    <x v="11"/>
    <n v="41.8"/>
    <x v="82"/>
    <x v="3"/>
    <d v="2025-01-10T00:00:00"/>
    <s v="F"/>
    <x v="3"/>
    <x v="0"/>
    <x v="0"/>
    <x v="3"/>
    <x v="4"/>
    <x v="0"/>
    <x v="2"/>
  </r>
  <r>
    <s v="TX500085"/>
    <x v="18"/>
    <x v="0"/>
    <n v="77.3"/>
    <x v="83"/>
    <x v="3"/>
    <d v="2025-01-05T00:00:00"/>
    <s v="M"/>
    <x v="4"/>
    <x v="4"/>
    <x v="0"/>
    <x v="3"/>
    <x v="3"/>
    <x v="0"/>
    <x v="1"/>
  </r>
  <r>
    <s v="TX500086"/>
    <x v="8"/>
    <x v="12"/>
    <n v="19.8"/>
    <x v="84"/>
    <x v="3"/>
    <d v="2025-01-10T00:00:00"/>
    <s v="M"/>
    <x v="1"/>
    <x v="2"/>
    <x v="0"/>
    <x v="3"/>
    <x v="4"/>
    <x v="0"/>
    <x v="1"/>
  </r>
  <r>
    <s v="TX500087"/>
    <x v="13"/>
    <x v="12"/>
    <n v="15.5"/>
    <x v="85"/>
    <x v="3"/>
    <d v="2025-01-05T00:00:00"/>
    <s v="F"/>
    <x v="1"/>
    <x v="2"/>
    <x v="0"/>
    <x v="3"/>
    <x v="3"/>
    <x v="0"/>
    <x v="2"/>
  </r>
  <r>
    <s v="TX500088"/>
    <x v="12"/>
    <x v="0"/>
    <n v="46.8"/>
    <x v="86"/>
    <x v="3"/>
    <d v="2025-01-08T00:00:00"/>
    <s v="M"/>
    <x v="0"/>
    <x v="2"/>
    <x v="0"/>
    <x v="3"/>
    <x v="5"/>
    <x v="0"/>
    <x v="1"/>
  </r>
  <r>
    <s v="TX500089"/>
    <x v="9"/>
    <x v="11"/>
    <n v="28.6"/>
    <x v="87"/>
    <x v="3"/>
    <d v="2025-01-08T00:00:00"/>
    <s v="M"/>
    <x v="0"/>
    <x v="2"/>
    <x v="0"/>
    <x v="3"/>
    <x v="5"/>
    <x v="0"/>
    <x v="1"/>
  </r>
  <r>
    <s v="TX500090"/>
    <x v="2"/>
    <x v="0"/>
    <n v="97.7"/>
    <x v="68"/>
    <x v="3"/>
    <d v="2025-01-07T00:00:00"/>
    <s v="F"/>
    <x v="1"/>
    <x v="0"/>
    <x v="0"/>
    <x v="3"/>
    <x v="2"/>
    <x v="0"/>
    <x v="2"/>
  </r>
  <r>
    <s v="TX500091"/>
    <x v="9"/>
    <x v="9"/>
    <n v="54.7"/>
    <x v="88"/>
    <x v="3"/>
    <d v="2025-01-07T00:00:00"/>
    <s v=""/>
    <x v="0"/>
    <x v="2"/>
    <x v="0"/>
    <x v="23"/>
    <x v="2"/>
    <x v="0"/>
    <x v="0"/>
  </r>
  <r>
    <s v="TX500092"/>
    <x v="2"/>
    <x v="13"/>
    <n v="130.5"/>
    <x v="89"/>
    <x v="3"/>
    <d v="2025-01-06T00:00:00"/>
    <s v="F"/>
    <x v="0"/>
    <x v="1"/>
    <x v="0"/>
    <x v="23"/>
    <x v="1"/>
    <x v="0"/>
    <x v="2"/>
  </r>
  <r>
    <s v="TX500093"/>
    <x v="11"/>
    <x v="1"/>
    <n v="50.4"/>
    <x v="90"/>
    <x v="3"/>
    <d v="2025-01-06T00:00:00"/>
    <s v="M"/>
    <x v="2"/>
    <x v="2"/>
    <x v="0"/>
    <x v="6"/>
    <x v="1"/>
    <x v="0"/>
    <x v="1"/>
  </r>
  <r>
    <s v="TX500094"/>
    <x v="6"/>
    <x v="15"/>
    <n v="61.5"/>
    <x v="91"/>
    <x v="3"/>
    <d v="2025-01-05T00:00:00"/>
    <s v=""/>
    <x v="3"/>
    <x v="1"/>
    <x v="0"/>
    <x v="11"/>
    <x v="3"/>
    <x v="0"/>
    <x v="0"/>
  </r>
  <r>
    <s v="TX500095"/>
    <x v="9"/>
    <x v="12"/>
    <n v="30.1"/>
    <x v="92"/>
    <x v="3"/>
    <d v="2025-01-05T00:00:00"/>
    <s v="F"/>
    <x v="0"/>
    <x v="2"/>
    <x v="0"/>
    <x v="21"/>
    <x v="3"/>
    <x v="0"/>
    <x v="2"/>
  </r>
  <r>
    <s v="TX500096"/>
    <x v="2"/>
    <x v="9"/>
    <n v="74.8"/>
    <x v="93"/>
    <x v="3"/>
    <d v="2025-01-05T00:00:00"/>
    <s v="F"/>
    <x v="1"/>
    <x v="0"/>
    <x v="0"/>
    <x v="1"/>
    <x v="3"/>
    <x v="0"/>
    <x v="2"/>
  </r>
  <r>
    <s v="TX500097"/>
    <x v="16"/>
    <x v="2"/>
    <n v="64.900000000000006"/>
    <x v="94"/>
    <x v="3"/>
    <d v="2025-01-11T00:00:00"/>
    <s v="M"/>
    <x v="0"/>
    <x v="0"/>
    <x v="0"/>
    <x v="2"/>
    <x v="6"/>
    <x v="0"/>
    <x v="1"/>
  </r>
  <r>
    <s v="TX500098"/>
    <x v="9"/>
    <x v="1"/>
    <n v="50.5"/>
    <x v="95"/>
    <x v="3"/>
    <d v="2025-01-06T00:00:00"/>
    <s v="M"/>
    <x v="1"/>
    <x v="0"/>
    <x v="0"/>
    <x v="22"/>
    <x v="1"/>
    <x v="0"/>
    <x v="1"/>
  </r>
  <r>
    <s v="TX500099"/>
    <x v="11"/>
    <x v="3"/>
    <n v="63"/>
    <x v="96"/>
    <x v="3"/>
    <d v="2025-01-07T00:00:00"/>
    <s v="M"/>
    <x v="3"/>
    <x v="2"/>
    <x v="0"/>
    <x v="3"/>
    <x v="2"/>
    <x v="0"/>
    <x v="1"/>
  </r>
  <r>
    <s v="TX500100"/>
    <x v="2"/>
    <x v="2"/>
    <n v="93.6"/>
    <x v="97"/>
    <x v="3"/>
    <d v="2025-01-17T00:00:00"/>
    <s v="F"/>
    <x v="0"/>
    <x v="2"/>
    <x v="0"/>
    <x v="3"/>
    <x v="10"/>
    <x v="0"/>
    <x v="2"/>
  </r>
  <r>
    <s v="TX500101"/>
    <x v="5"/>
    <x v="17"/>
    <n v="41.4"/>
    <x v="98"/>
    <x v="3"/>
    <d v="2025-01-08T00:00:00"/>
    <s v="M"/>
    <x v="2"/>
    <x v="2"/>
    <x v="0"/>
    <x v="3"/>
    <x v="5"/>
    <x v="0"/>
    <x v="1"/>
  </r>
  <r>
    <s v="TX500102"/>
    <x v="2"/>
    <x v="1"/>
    <n v="160"/>
    <x v="99"/>
    <x v="4"/>
    <d v="2025-01-06T00:00:00"/>
    <s v="M"/>
    <x v="2"/>
    <x v="2"/>
    <x v="0"/>
    <x v="5"/>
    <x v="3"/>
    <x v="1"/>
    <x v="1"/>
  </r>
  <r>
    <s v="TX500103"/>
    <x v="19"/>
    <x v="5"/>
    <n v="10.5"/>
    <x v="100"/>
    <x v="4"/>
    <d v="2025-01-08T00:00:00"/>
    <s v="F"/>
    <x v="4"/>
    <x v="0"/>
    <x v="0"/>
    <x v="8"/>
    <x v="2"/>
    <x v="1"/>
    <x v="2"/>
  </r>
  <r>
    <s v="TX500104"/>
    <x v="10"/>
    <x v="1"/>
    <n v="53"/>
    <x v="101"/>
    <x v="4"/>
    <d v="2025-01-05T00:00:00"/>
    <s v="M"/>
    <x v="2"/>
    <x v="4"/>
    <x v="0"/>
    <x v="17"/>
    <x v="7"/>
    <x v="1"/>
    <x v="1"/>
  </r>
  <r>
    <s v="TX500105"/>
    <x v="8"/>
    <x v="2"/>
    <n v="18.5"/>
    <x v="102"/>
    <x v="4"/>
    <d v="2025-01-10T00:00:00"/>
    <s v="F"/>
    <x v="1"/>
    <x v="2"/>
    <x v="0"/>
    <x v="11"/>
    <x v="0"/>
    <x v="1"/>
    <x v="2"/>
  </r>
  <r>
    <s v="TX500106"/>
    <x v="16"/>
    <x v="2"/>
    <n v="84.5"/>
    <x v="103"/>
    <x v="4"/>
    <d v="2025-01-07T00:00:00"/>
    <s v="F"/>
    <x v="4"/>
    <x v="1"/>
    <x v="0"/>
    <x v="13"/>
    <x v="1"/>
    <x v="1"/>
    <x v="2"/>
  </r>
  <r>
    <s v="TX500107"/>
    <x v="15"/>
    <x v="3"/>
    <n v="31.2"/>
    <x v="104"/>
    <x v="4"/>
    <d v="2025-01-05T00:00:00"/>
    <s v="F"/>
    <x v="2"/>
    <x v="2"/>
    <x v="0"/>
    <x v="3"/>
    <x v="7"/>
    <x v="1"/>
    <x v="2"/>
  </r>
  <r>
    <s v="TX500108"/>
    <x v="8"/>
    <x v="16"/>
    <n v="32.6"/>
    <x v="105"/>
    <x v="4"/>
    <d v="2025-01-06T00:00:00"/>
    <s v="M"/>
    <x v="1"/>
    <x v="1"/>
    <x v="0"/>
    <x v="3"/>
    <x v="3"/>
    <x v="1"/>
    <x v="1"/>
  </r>
  <r>
    <s v="TX500109"/>
    <x v="10"/>
    <x v="12"/>
    <n v="45.4"/>
    <x v="106"/>
    <x v="4"/>
    <d v="2025-01-07T00:00:00"/>
    <s v="M"/>
    <x v="1"/>
    <x v="0"/>
    <x v="0"/>
    <x v="3"/>
    <x v="1"/>
    <x v="1"/>
    <x v="1"/>
  </r>
  <r>
    <s v="TX500110"/>
    <x v="2"/>
    <x v="4"/>
    <n v="120"/>
    <x v="107"/>
    <x v="4"/>
    <d v="2025-01-06T00:00:00"/>
    <s v="F"/>
    <x v="2"/>
    <x v="4"/>
    <x v="0"/>
    <x v="3"/>
    <x v="3"/>
    <x v="1"/>
    <x v="2"/>
  </r>
  <r>
    <s v="TX500111"/>
    <x v="0"/>
    <x v="12"/>
    <n v="18.899999999999999"/>
    <x v="108"/>
    <x v="4"/>
    <d v="2025-01-07T00:00:00"/>
    <s v="M"/>
    <x v="0"/>
    <x v="2"/>
    <x v="0"/>
    <x v="3"/>
    <x v="1"/>
    <x v="1"/>
    <x v="1"/>
  </r>
  <r>
    <s v="TX500112"/>
    <x v="4"/>
    <x v="0"/>
    <n v="32"/>
    <x v="109"/>
    <x v="4"/>
    <d v="2025-01-07T00:00:00"/>
    <s v="F"/>
    <x v="4"/>
    <x v="0"/>
    <x v="0"/>
    <x v="3"/>
    <x v="1"/>
    <x v="1"/>
    <x v="2"/>
  </r>
  <r>
    <s v="TX500113"/>
    <x v="7"/>
    <x v="1"/>
    <n v="37.299999999999997"/>
    <x v="110"/>
    <x v="4"/>
    <d v="2025-01-06T00:00:00"/>
    <s v="M"/>
    <x v="2"/>
    <x v="0"/>
    <x v="0"/>
    <x v="3"/>
    <x v="3"/>
    <x v="1"/>
    <x v="1"/>
  </r>
  <r>
    <s v="TX500114"/>
    <x v="18"/>
    <x v="0"/>
    <n v="119.8"/>
    <x v="111"/>
    <x v="4"/>
    <d v="2025-01-06T00:00:00"/>
    <s v="M"/>
    <x v="1"/>
    <x v="1"/>
    <x v="0"/>
    <x v="3"/>
    <x v="3"/>
    <x v="1"/>
    <x v="1"/>
  </r>
  <r>
    <s v="TX500115"/>
    <x v="10"/>
    <x v="1"/>
    <n v="26.4"/>
    <x v="112"/>
    <x v="4"/>
    <d v="2025-01-08T00:00:00"/>
    <s v="M"/>
    <x v="2"/>
    <x v="0"/>
    <x v="0"/>
    <x v="3"/>
    <x v="2"/>
    <x v="1"/>
    <x v="1"/>
  </r>
  <r>
    <s v="TX500116"/>
    <x v="6"/>
    <x v="13"/>
    <n v="76.5"/>
    <x v="113"/>
    <x v="4"/>
    <d v="2025-01-06T00:00:00"/>
    <s v="F"/>
    <x v="1"/>
    <x v="1"/>
    <x v="0"/>
    <x v="3"/>
    <x v="3"/>
    <x v="1"/>
    <x v="2"/>
  </r>
  <r>
    <s v="TX500117"/>
    <x v="4"/>
    <x v="7"/>
    <n v="45.7"/>
    <x v="114"/>
    <x v="4"/>
    <d v="2025-01-06T00:00:00"/>
    <s v="F"/>
    <x v="2"/>
    <x v="0"/>
    <x v="0"/>
    <x v="24"/>
    <x v="3"/>
    <x v="1"/>
    <x v="2"/>
  </r>
  <r>
    <s v="TX500118"/>
    <x v="1"/>
    <x v="4"/>
    <n v="92.6"/>
    <x v="115"/>
    <x v="4"/>
    <d v="2025-01-07T00:00:00"/>
    <s v="F"/>
    <x v="2"/>
    <x v="0"/>
    <x v="0"/>
    <x v="25"/>
    <x v="1"/>
    <x v="1"/>
    <x v="2"/>
  </r>
  <r>
    <s v="TX500119"/>
    <x v="6"/>
    <x v="13"/>
    <n v="60.1"/>
    <x v="116"/>
    <x v="4"/>
    <d v="2025-01-06T00:00:00"/>
    <s v="M"/>
    <x v="1"/>
    <x v="0"/>
    <x v="0"/>
    <x v="23"/>
    <x v="3"/>
    <x v="1"/>
    <x v="1"/>
  </r>
  <r>
    <s v="TX500120"/>
    <x v="1"/>
    <x v="2"/>
    <n v="73"/>
    <x v="20"/>
    <x v="4"/>
    <d v="2025-01-06T00:00:00"/>
    <s v="F"/>
    <x v="3"/>
    <x v="1"/>
    <x v="0"/>
    <x v="6"/>
    <x v="3"/>
    <x v="1"/>
    <x v="2"/>
  </r>
  <r>
    <s v="TX500121"/>
    <x v="6"/>
    <x v="2"/>
    <n v="44.3"/>
    <x v="117"/>
    <x v="4"/>
    <d v="2025-01-09T00:00:00"/>
    <s v=""/>
    <x v="2"/>
    <x v="2"/>
    <x v="0"/>
    <x v="6"/>
    <x v="5"/>
    <x v="1"/>
    <x v="0"/>
  </r>
  <r>
    <s v="TX500122"/>
    <x v="6"/>
    <x v="2"/>
    <n v="63.3"/>
    <x v="118"/>
    <x v="4"/>
    <d v="2025-01-06T00:00:00"/>
    <s v="M"/>
    <x v="2"/>
    <x v="0"/>
    <x v="0"/>
    <x v="6"/>
    <x v="3"/>
    <x v="1"/>
    <x v="1"/>
  </r>
  <r>
    <s v="TX500123"/>
    <x v="12"/>
    <x v="0"/>
    <n v="66.8"/>
    <x v="119"/>
    <x v="4"/>
    <d v="2025-01-06T00:00:00"/>
    <s v="F"/>
    <x v="1"/>
    <x v="0"/>
    <x v="0"/>
    <x v="6"/>
    <x v="3"/>
    <x v="1"/>
    <x v="2"/>
  </r>
  <r>
    <s v="TX500124"/>
    <x v="2"/>
    <x v="1"/>
    <n v="59.7"/>
    <x v="120"/>
    <x v="4"/>
    <d v="2025-01-06T00:00:00"/>
    <s v="F"/>
    <x v="0"/>
    <x v="0"/>
    <x v="0"/>
    <x v="7"/>
    <x v="3"/>
    <x v="1"/>
    <x v="2"/>
  </r>
  <r>
    <s v="TX500125"/>
    <x v="1"/>
    <x v="13"/>
    <n v="92"/>
    <x v="121"/>
    <x v="4"/>
    <d v="2025-01-07T00:00:00"/>
    <s v="M"/>
    <x v="0"/>
    <x v="4"/>
    <x v="0"/>
    <x v="7"/>
    <x v="1"/>
    <x v="1"/>
    <x v="1"/>
  </r>
  <r>
    <s v="TX500126"/>
    <x v="7"/>
    <x v="1"/>
    <n v="87.6"/>
    <x v="122"/>
    <x v="4"/>
    <d v="2025-01-07T00:00:00"/>
    <s v="M"/>
    <x v="1"/>
    <x v="1"/>
    <x v="0"/>
    <x v="8"/>
    <x v="1"/>
    <x v="1"/>
    <x v="1"/>
  </r>
  <r>
    <s v="TX500127"/>
    <x v="6"/>
    <x v="2"/>
    <n v="84.5"/>
    <x v="103"/>
    <x v="4"/>
    <d v="2025-01-06T00:00:00"/>
    <s v="F"/>
    <x v="1"/>
    <x v="1"/>
    <x v="0"/>
    <x v="8"/>
    <x v="3"/>
    <x v="1"/>
    <x v="2"/>
  </r>
  <r>
    <s v="TX500128"/>
    <x v="1"/>
    <x v="1"/>
    <n v="116.3"/>
    <x v="123"/>
    <x v="5"/>
    <d v="2025-01-08T00:00:00"/>
    <s v="M"/>
    <x v="2"/>
    <x v="2"/>
    <x v="0"/>
    <x v="8"/>
    <x v="1"/>
    <x v="1"/>
    <x v="1"/>
  </r>
  <r>
    <s v="TX500129"/>
    <x v="6"/>
    <x v="9"/>
    <n v="52.7"/>
    <x v="124"/>
    <x v="5"/>
    <d v="2025-01-10T00:00:00"/>
    <s v="M"/>
    <x v="0"/>
    <x v="0"/>
    <x v="0"/>
    <x v="8"/>
    <x v="5"/>
    <x v="1"/>
    <x v="1"/>
  </r>
  <r>
    <s v="TX500130"/>
    <x v="16"/>
    <x v="2"/>
    <n v="34.200000000000003"/>
    <x v="125"/>
    <x v="5"/>
    <d v="2025-01-07T00:00:00"/>
    <s v="M"/>
    <x v="0"/>
    <x v="2"/>
    <x v="0"/>
    <x v="26"/>
    <x v="3"/>
    <x v="1"/>
    <x v="1"/>
  </r>
  <r>
    <s v="TX500131"/>
    <x v="9"/>
    <x v="0"/>
    <n v="23.3"/>
    <x v="126"/>
    <x v="5"/>
    <d v="2025-01-15T00:00:00"/>
    <s v="O"/>
    <x v="2"/>
    <x v="2"/>
    <x v="0"/>
    <x v="9"/>
    <x v="8"/>
    <x v="1"/>
    <x v="3"/>
  </r>
  <r>
    <s v="TX500132"/>
    <x v="0"/>
    <x v="18"/>
    <n v="25.9"/>
    <x v="127"/>
    <x v="5"/>
    <d v="2025-01-09T00:00:00"/>
    <s v="F"/>
    <x v="4"/>
    <x v="1"/>
    <x v="0"/>
    <x v="9"/>
    <x v="2"/>
    <x v="1"/>
    <x v="2"/>
  </r>
  <r>
    <s v="TX500133"/>
    <x v="6"/>
    <x v="19"/>
    <n v="54.9"/>
    <x v="128"/>
    <x v="5"/>
    <d v="2025-01-07T00:00:00"/>
    <s v="M"/>
    <x v="1"/>
    <x v="2"/>
    <x v="0"/>
    <x v="9"/>
    <x v="3"/>
    <x v="1"/>
    <x v="1"/>
  </r>
  <r>
    <s v="TX500134"/>
    <x v="5"/>
    <x v="2"/>
    <n v="75.8"/>
    <x v="129"/>
    <x v="5"/>
    <d v="2025-01-11T00:00:00"/>
    <s v="O"/>
    <x v="1"/>
    <x v="0"/>
    <x v="0"/>
    <x v="18"/>
    <x v="0"/>
    <x v="1"/>
    <x v="3"/>
  </r>
  <r>
    <s v="TX500135"/>
    <x v="1"/>
    <x v="11"/>
    <n v="44.9"/>
    <x v="130"/>
    <x v="5"/>
    <d v="2025-01-09T00:00:00"/>
    <s v="F"/>
    <x v="2"/>
    <x v="2"/>
    <x v="0"/>
    <x v="2"/>
    <x v="2"/>
    <x v="1"/>
    <x v="2"/>
  </r>
  <r>
    <s v="TX500136"/>
    <x v="11"/>
    <x v="1"/>
    <n v="48.8"/>
    <x v="131"/>
    <x v="5"/>
    <d v="2025-01-08T00:00:00"/>
    <s v="F"/>
    <x v="3"/>
    <x v="0"/>
    <x v="0"/>
    <x v="27"/>
    <x v="1"/>
    <x v="1"/>
    <x v="2"/>
  </r>
  <r>
    <s v="TX500137"/>
    <x v="15"/>
    <x v="0"/>
    <n v="20.3"/>
    <x v="132"/>
    <x v="5"/>
    <d v="2025-01-07T00:00:00"/>
    <s v="F"/>
    <x v="0"/>
    <x v="2"/>
    <x v="0"/>
    <x v="22"/>
    <x v="3"/>
    <x v="1"/>
    <x v="2"/>
  </r>
  <r>
    <s v="TX500138"/>
    <x v="5"/>
    <x v="3"/>
    <n v="36.4"/>
    <x v="133"/>
    <x v="5"/>
    <d v="2025-01-09T00:00:00"/>
    <s v="F"/>
    <x v="0"/>
    <x v="1"/>
    <x v="0"/>
    <x v="3"/>
    <x v="2"/>
    <x v="1"/>
    <x v="2"/>
  </r>
  <r>
    <s v="TX500139"/>
    <x v="0"/>
    <x v="0"/>
    <n v="19"/>
    <x v="134"/>
    <x v="5"/>
    <d v="2025-01-11T00:00:00"/>
    <s v="F"/>
    <x v="1"/>
    <x v="2"/>
    <x v="0"/>
    <x v="3"/>
    <x v="0"/>
    <x v="1"/>
    <x v="2"/>
  </r>
  <r>
    <s v="TX500140"/>
    <x v="8"/>
    <x v="0"/>
    <n v="17.8"/>
    <x v="135"/>
    <x v="5"/>
    <d v="2025-01-06T00:00:00"/>
    <s v="M"/>
    <x v="0"/>
    <x v="0"/>
    <x v="0"/>
    <x v="3"/>
    <x v="7"/>
    <x v="1"/>
    <x v="1"/>
  </r>
  <r>
    <s v="TX500141"/>
    <x v="2"/>
    <x v="13"/>
    <n v="139.6"/>
    <x v="136"/>
    <x v="5"/>
    <d v="2025-01-09T00:00:00"/>
    <s v="M"/>
    <x v="0"/>
    <x v="0"/>
    <x v="0"/>
    <x v="3"/>
    <x v="2"/>
    <x v="1"/>
    <x v="1"/>
  </r>
  <r>
    <s v="TX500142"/>
    <x v="9"/>
    <x v="0"/>
    <n v="31.7"/>
    <x v="137"/>
    <x v="5"/>
    <d v="2025-01-06T00:00:00"/>
    <s v=""/>
    <x v="0"/>
    <x v="0"/>
    <x v="0"/>
    <x v="3"/>
    <x v="7"/>
    <x v="1"/>
    <x v="0"/>
  </r>
  <r>
    <s v="TX500143"/>
    <x v="8"/>
    <x v="8"/>
    <n v="26.3"/>
    <x v="138"/>
    <x v="5"/>
    <d v="2025-01-09T00:00:00"/>
    <s v="F"/>
    <x v="4"/>
    <x v="4"/>
    <x v="0"/>
    <x v="3"/>
    <x v="2"/>
    <x v="1"/>
    <x v="2"/>
  </r>
  <r>
    <s v="TX500144"/>
    <x v="4"/>
    <x v="1"/>
    <n v="47.8"/>
    <x v="139"/>
    <x v="5"/>
    <d v="2025-01-07T00:00:00"/>
    <s v=""/>
    <x v="0"/>
    <x v="0"/>
    <x v="0"/>
    <x v="3"/>
    <x v="3"/>
    <x v="1"/>
    <x v="0"/>
  </r>
  <r>
    <s v="TX500145"/>
    <x v="9"/>
    <x v="2"/>
    <n v="69.400000000000006"/>
    <x v="140"/>
    <x v="5"/>
    <d v="2025-01-10T00:00:00"/>
    <s v="F"/>
    <x v="0"/>
    <x v="0"/>
    <x v="0"/>
    <x v="3"/>
    <x v="5"/>
    <x v="1"/>
    <x v="2"/>
  </r>
  <r>
    <s v="TX500146"/>
    <x v="18"/>
    <x v="4"/>
    <n v="25.8"/>
    <x v="141"/>
    <x v="5"/>
    <d v="2025-01-07T00:00:00"/>
    <s v="M"/>
    <x v="4"/>
    <x v="4"/>
    <x v="0"/>
    <x v="3"/>
    <x v="3"/>
    <x v="1"/>
    <x v="1"/>
  </r>
  <r>
    <s v="TX500147"/>
    <x v="0"/>
    <x v="12"/>
    <n v="26.4"/>
    <x v="142"/>
    <x v="5"/>
    <d v="2025-01-07T00:00:00"/>
    <s v="M"/>
    <x v="1"/>
    <x v="2"/>
    <x v="0"/>
    <x v="3"/>
    <x v="3"/>
    <x v="1"/>
    <x v="1"/>
  </r>
  <r>
    <s v="TX500148"/>
    <x v="8"/>
    <x v="12"/>
    <n v="15.7"/>
    <x v="143"/>
    <x v="5"/>
    <d v="2025-01-07T00:00:00"/>
    <s v="M"/>
    <x v="2"/>
    <x v="0"/>
    <x v="0"/>
    <x v="3"/>
    <x v="3"/>
    <x v="1"/>
    <x v="1"/>
  </r>
  <r>
    <s v="TX500149"/>
    <x v="8"/>
    <x v="0"/>
    <n v="39.700000000000003"/>
    <x v="144"/>
    <x v="5"/>
    <d v="2025-01-10T00:00:00"/>
    <s v="M"/>
    <x v="0"/>
    <x v="0"/>
    <x v="0"/>
    <x v="3"/>
    <x v="5"/>
    <x v="1"/>
    <x v="1"/>
  </r>
  <r>
    <s v="TX500150"/>
    <x v="10"/>
    <x v="12"/>
    <n v="31.1"/>
    <x v="145"/>
    <x v="5"/>
    <d v="2025-01-08T00:00:00"/>
    <s v="F"/>
    <x v="2"/>
    <x v="1"/>
    <x v="0"/>
    <x v="3"/>
    <x v="1"/>
    <x v="1"/>
    <x v="2"/>
  </r>
  <r>
    <s v="TX500151"/>
    <x v="13"/>
    <x v="20"/>
    <n v="23.4"/>
    <x v="146"/>
    <x v="5"/>
    <d v="2025-01-15T00:00:00"/>
    <s v="M"/>
    <x v="0"/>
    <x v="0"/>
    <x v="0"/>
    <x v="3"/>
    <x v="8"/>
    <x v="1"/>
    <x v="1"/>
  </r>
  <r>
    <s v="TX500152"/>
    <x v="1"/>
    <x v="12"/>
    <n v="57.1"/>
    <x v="147"/>
    <x v="6"/>
    <d v="2025-01-08T00:00:00"/>
    <s v="M"/>
    <x v="2"/>
    <x v="0"/>
    <x v="0"/>
    <x v="25"/>
    <x v="3"/>
    <x v="1"/>
    <x v="1"/>
  </r>
  <r>
    <s v="TX500153"/>
    <x v="2"/>
    <x v="9"/>
    <n v="89.9"/>
    <x v="148"/>
    <x v="6"/>
    <d v="2025-01-07T00:00:00"/>
    <s v="F"/>
    <x v="0"/>
    <x v="3"/>
    <x v="0"/>
    <x v="23"/>
    <x v="7"/>
    <x v="1"/>
    <x v="2"/>
  </r>
  <r>
    <s v="TX500154"/>
    <x v="10"/>
    <x v="3"/>
    <n v="48.1"/>
    <x v="149"/>
    <x v="6"/>
    <d v="2025-01-09T00:00:00"/>
    <s v="F"/>
    <x v="1"/>
    <x v="2"/>
    <x v="0"/>
    <x v="6"/>
    <x v="1"/>
    <x v="1"/>
    <x v="2"/>
  </r>
  <r>
    <s v="TX500155"/>
    <x v="8"/>
    <x v="1"/>
    <n v="29.3"/>
    <x v="150"/>
    <x v="6"/>
    <d v="2025-01-07T00:00:00"/>
    <s v="F"/>
    <x v="1"/>
    <x v="1"/>
    <x v="0"/>
    <x v="6"/>
    <x v="7"/>
    <x v="1"/>
    <x v="2"/>
  </r>
  <r>
    <s v="TX500156"/>
    <x v="8"/>
    <x v="12"/>
    <n v="28.8"/>
    <x v="151"/>
    <x v="6"/>
    <d v="2025-01-08T00:00:00"/>
    <s v="F"/>
    <x v="0"/>
    <x v="4"/>
    <x v="0"/>
    <x v="6"/>
    <x v="3"/>
    <x v="1"/>
    <x v="2"/>
  </r>
  <r>
    <s v="TX500157"/>
    <x v="10"/>
    <x v="9"/>
    <n v="40.5"/>
    <x v="152"/>
    <x v="6"/>
    <d v="2025-01-11T00:00:00"/>
    <s v="F"/>
    <x v="3"/>
    <x v="0"/>
    <x v="0"/>
    <x v="6"/>
    <x v="5"/>
    <x v="1"/>
    <x v="2"/>
  </r>
  <r>
    <s v="TX500158"/>
    <x v="18"/>
    <x v="21"/>
    <n v="65.099999999999994"/>
    <x v="153"/>
    <x v="6"/>
    <d v="2025-01-08T00:00:00"/>
    <s v="F"/>
    <x v="4"/>
    <x v="0"/>
    <x v="0"/>
    <x v="7"/>
    <x v="3"/>
    <x v="1"/>
    <x v="2"/>
  </r>
  <r>
    <s v="TX500159"/>
    <x v="8"/>
    <x v="12"/>
    <n v="40.299999999999997"/>
    <x v="154"/>
    <x v="6"/>
    <d v="2025-01-12T00:00:00"/>
    <s v="F"/>
    <x v="2"/>
    <x v="0"/>
    <x v="0"/>
    <x v="7"/>
    <x v="0"/>
    <x v="1"/>
    <x v="2"/>
  </r>
  <r>
    <s v="TX500160"/>
    <x v="6"/>
    <x v="9"/>
    <n v="51.8"/>
    <x v="155"/>
    <x v="6"/>
    <d v="2025-01-08T00:00:00"/>
    <s v="M"/>
    <x v="2"/>
    <x v="2"/>
    <x v="0"/>
    <x v="8"/>
    <x v="3"/>
    <x v="1"/>
    <x v="1"/>
  </r>
  <r>
    <s v="TX500161"/>
    <x v="6"/>
    <x v="2"/>
    <n v="61.3"/>
    <x v="156"/>
    <x v="6"/>
    <d v="2025-01-08T00:00:00"/>
    <s v="F"/>
    <x v="3"/>
    <x v="0"/>
    <x v="0"/>
    <x v="8"/>
    <x v="3"/>
    <x v="1"/>
    <x v="2"/>
  </r>
  <r>
    <s v="TX500162"/>
    <x v="2"/>
    <x v="12"/>
    <n v="122.5"/>
    <x v="157"/>
    <x v="6"/>
    <d v="2025-01-08T00:00:00"/>
    <s v="M"/>
    <x v="0"/>
    <x v="0"/>
    <x v="0"/>
    <x v="8"/>
    <x v="3"/>
    <x v="1"/>
    <x v="1"/>
  </r>
  <r>
    <s v="TX500163"/>
    <x v="0"/>
    <x v="11"/>
    <n v="12.5"/>
    <x v="158"/>
    <x v="6"/>
    <d v="2025-01-08T00:00:00"/>
    <s v=""/>
    <x v="1"/>
    <x v="2"/>
    <x v="0"/>
    <x v="8"/>
    <x v="3"/>
    <x v="1"/>
    <x v="0"/>
  </r>
  <r>
    <s v="TX500164"/>
    <x v="15"/>
    <x v="8"/>
    <n v="37.5"/>
    <x v="159"/>
    <x v="6"/>
    <d v="2025-01-08T00:00:00"/>
    <s v="F"/>
    <x v="0"/>
    <x v="0"/>
    <x v="0"/>
    <x v="9"/>
    <x v="3"/>
    <x v="1"/>
    <x v="2"/>
  </r>
  <r>
    <s v="TX500165"/>
    <x v="6"/>
    <x v="2"/>
    <n v="40"/>
    <x v="160"/>
    <x v="6"/>
    <d v="2025-01-10T00:00:00"/>
    <s v="M"/>
    <x v="0"/>
    <x v="4"/>
    <x v="0"/>
    <x v="11"/>
    <x v="2"/>
    <x v="1"/>
    <x v="1"/>
  </r>
  <r>
    <s v="TX500166"/>
    <x v="17"/>
    <x v="8"/>
    <n v="38.5"/>
    <x v="161"/>
    <x v="6"/>
    <d v="2025-01-12T00:00:00"/>
    <s v="F"/>
    <x v="2"/>
    <x v="1"/>
    <x v="0"/>
    <x v="11"/>
    <x v="0"/>
    <x v="1"/>
    <x v="2"/>
  </r>
  <r>
    <s v="TX500167"/>
    <x v="2"/>
    <x v="1"/>
    <n v="86.4"/>
    <x v="162"/>
    <x v="6"/>
    <d v="2025-01-09T00:00:00"/>
    <s v="F"/>
    <x v="0"/>
    <x v="0"/>
    <x v="0"/>
    <x v="18"/>
    <x v="1"/>
    <x v="1"/>
    <x v="2"/>
  </r>
  <r>
    <s v="TX500168"/>
    <x v="10"/>
    <x v="0"/>
    <n v="50.7"/>
    <x v="163"/>
    <x v="6"/>
    <d v="2025-01-11T00:00:00"/>
    <s v="F"/>
    <x v="1"/>
    <x v="0"/>
    <x v="0"/>
    <x v="18"/>
    <x v="5"/>
    <x v="1"/>
    <x v="2"/>
  </r>
  <r>
    <s v="TX500169"/>
    <x v="10"/>
    <x v="1"/>
    <n v="61"/>
    <x v="164"/>
    <x v="6"/>
    <d v="2025-01-18T00:00:00"/>
    <s v="F"/>
    <x v="4"/>
    <x v="1"/>
    <x v="0"/>
    <x v="18"/>
    <x v="11"/>
    <x v="1"/>
    <x v="2"/>
  </r>
  <r>
    <s v="TX500170"/>
    <x v="4"/>
    <x v="1"/>
    <n v="19.899999999999999"/>
    <x v="165"/>
    <x v="6"/>
    <d v="2025-01-10T00:00:00"/>
    <s v="F"/>
    <x v="1"/>
    <x v="0"/>
    <x v="0"/>
    <x v="28"/>
    <x v="2"/>
    <x v="1"/>
    <x v="2"/>
  </r>
  <r>
    <s v="TX500171"/>
    <x v="5"/>
    <x v="0"/>
    <n v="78.3"/>
    <x v="166"/>
    <x v="6"/>
    <d v="2025-01-07T00:00:00"/>
    <s v="F"/>
    <x v="0"/>
    <x v="2"/>
    <x v="0"/>
    <x v="1"/>
    <x v="7"/>
    <x v="1"/>
    <x v="2"/>
  </r>
  <r>
    <s v="TX500172"/>
    <x v="0"/>
    <x v="10"/>
    <n v="10.4"/>
    <x v="167"/>
    <x v="6"/>
    <d v="2025-01-09T00:00:00"/>
    <s v="M"/>
    <x v="0"/>
    <x v="2"/>
    <x v="0"/>
    <x v="2"/>
    <x v="1"/>
    <x v="1"/>
    <x v="1"/>
  </r>
  <r>
    <s v="TX500173"/>
    <x v="10"/>
    <x v="0"/>
    <n v="36.1"/>
    <x v="168"/>
    <x v="6"/>
    <d v="2025-01-10T00:00:00"/>
    <s v="M"/>
    <x v="3"/>
    <x v="2"/>
    <x v="0"/>
    <x v="3"/>
    <x v="2"/>
    <x v="1"/>
    <x v="1"/>
  </r>
  <r>
    <s v="TX500174"/>
    <x v="14"/>
    <x v="1"/>
    <n v="17.3"/>
    <x v="169"/>
    <x v="6"/>
    <d v="2025-01-09T00:00:00"/>
    <s v="F"/>
    <x v="1"/>
    <x v="2"/>
    <x v="0"/>
    <x v="3"/>
    <x v="1"/>
    <x v="1"/>
    <x v="2"/>
  </r>
  <r>
    <s v="TX500175"/>
    <x v="10"/>
    <x v="1"/>
    <n v="30.5"/>
    <x v="170"/>
    <x v="6"/>
    <d v="2025-01-08T00:00:00"/>
    <s v="F"/>
    <x v="1"/>
    <x v="2"/>
    <x v="0"/>
    <x v="3"/>
    <x v="3"/>
    <x v="1"/>
    <x v="2"/>
  </r>
  <r>
    <s v="TX500176"/>
    <x v="18"/>
    <x v="22"/>
    <n v="70.099999999999994"/>
    <x v="171"/>
    <x v="6"/>
    <d v="2025-01-07T00:00:00"/>
    <s v="F"/>
    <x v="2"/>
    <x v="0"/>
    <x v="0"/>
    <x v="3"/>
    <x v="7"/>
    <x v="1"/>
    <x v="2"/>
  </r>
  <r>
    <s v="TX500177"/>
    <x v="3"/>
    <x v="0"/>
    <n v="76.099999999999994"/>
    <x v="172"/>
    <x v="6"/>
    <d v="2025-01-07T00:00:00"/>
    <s v="F"/>
    <x v="2"/>
    <x v="1"/>
    <x v="0"/>
    <x v="3"/>
    <x v="7"/>
    <x v="1"/>
    <x v="2"/>
  </r>
  <r>
    <s v="TX500178"/>
    <x v="15"/>
    <x v="15"/>
    <n v="34.200000000000003"/>
    <x v="173"/>
    <x v="6"/>
    <d v="2025-01-08T00:00:00"/>
    <s v="M"/>
    <x v="0"/>
    <x v="0"/>
    <x v="0"/>
    <x v="3"/>
    <x v="3"/>
    <x v="1"/>
    <x v="1"/>
  </r>
  <r>
    <s v="TX500179"/>
    <x v="8"/>
    <x v="9"/>
    <n v="30.3"/>
    <x v="174"/>
    <x v="6"/>
    <d v="2025-01-12T00:00:00"/>
    <s v="F"/>
    <x v="4"/>
    <x v="0"/>
    <x v="0"/>
    <x v="3"/>
    <x v="0"/>
    <x v="1"/>
    <x v="2"/>
  </r>
  <r>
    <s v="TX500180"/>
    <x v="6"/>
    <x v="9"/>
    <n v="52.5"/>
    <x v="175"/>
    <x v="6"/>
    <d v="2025-01-11T00:00:00"/>
    <s v=""/>
    <x v="3"/>
    <x v="0"/>
    <x v="0"/>
    <x v="3"/>
    <x v="5"/>
    <x v="1"/>
    <x v="0"/>
  </r>
  <r>
    <s v="TX500181"/>
    <x v="9"/>
    <x v="5"/>
    <n v="28.7"/>
    <x v="176"/>
    <x v="6"/>
    <d v="2025-01-08T00:00:00"/>
    <s v="F"/>
    <x v="2"/>
    <x v="0"/>
    <x v="0"/>
    <x v="3"/>
    <x v="3"/>
    <x v="1"/>
    <x v="2"/>
  </r>
  <r>
    <s v="TX500182"/>
    <x v="7"/>
    <x v="3"/>
    <n v="52"/>
    <x v="177"/>
    <x v="6"/>
    <d v="2025-01-08T00:00:00"/>
    <s v="M"/>
    <x v="1"/>
    <x v="4"/>
    <x v="0"/>
    <x v="3"/>
    <x v="3"/>
    <x v="1"/>
    <x v="1"/>
  </r>
  <r>
    <s v="TX500183"/>
    <x v="0"/>
    <x v="0"/>
    <n v="13.3"/>
    <x v="178"/>
    <x v="7"/>
    <d v="2025-01-12T00:00:00"/>
    <s v="F"/>
    <x v="2"/>
    <x v="1"/>
    <x v="0"/>
    <x v="3"/>
    <x v="5"/>
    <x v="1"/>
    <x v="2"/>
  </r>
  <r>
    <s v="TX500184"/>
    <x v="0"/>
    <x v="2"/>
    <n v="15.7"/>
    <x v="179"/>
    <x v="7"/>
    <d v="2025-01-09T00:00:00"/>
    <s v="F"/>
    <x v="1"/>
    <x v="0"/>
    <x v="0"/>
    <x v="29"/>
    <x v="3"/>
    <x v="1"/>
    <x v="2"/>
  </r>
  <r>
    <s v="TX500185"/>
    <x v="8"/>
    <x v="1"/>
    <n v="25.6"/>
    <x v="180"/>
    <x v="7"/>
    <d v="2025-01-09T00:00:00"/>
    <s v="M"/>
    <x v="0"/>
    <x v="2"/>
    <x v="0"/>
    <x v="23"/>
    <x v="3"/>
    <x v="1"/>
    <x v="1"/>
  </r>
  <r>
    <s v="TX500186"/>
    <x v="8"/>
    <x v="0"/>
    <n v="43.4"/>
    <x v="181"/>
    <x v="7"/>
    <d v="2025-01-13T00:00:00"/>
    <s v="M"/>
    <x v="0"/>
    <x v="0"/>
    <x v="0"/>
    <x v="6"/>
    <x v="0"/>
    <x v="1"/>
    <x v="1"/>
  </r>
  <r>
    <s v="TX500187"/>
    <x v="11"/>
    <x v="11"/>
    <n v="33.4"/>
    <x v="182"/>
    <x v="7"/>
    <d v="2025-01-08T00:00:00"/>
    <s v="F"/>
    <x v="0"/>
    <x v="0"/>
    <x v="0"/>
    <x v="8"/>
    <x v="7"/>
    <x v="1"/>
    <x v="2"/>
  </r>
  <r>
    <s v="TX500188"/>
    <x v="8"/>
    <x v="10"/>
    <n v="55"/>
    <x v="183"/>
    <x v="7"/>
    <d v="2025-01-09T00:00:00"/>
    <s v="F"/>
    <x v="1"/>
    <x v="2"/>
    <x v="0"/>
    <x v="8"/>
    <x v="3"/>
    <x v="1"/>
    <x v="2"/>
  </r>
  <r>
    <s v="TX500189"/>
    <x v="8"/>
    <x v="2"/>
    <n v="23.6"/>
    <x v="184"/>
    <x v="7"/>
    <d v="2025-01-09T00:00:00"/>
    <s v="M"/>
    <x v="0"/>
    <x v="2"/>
    <x v="0"/>
    <x v="8"/>
    <x v="3"/>
    <x v="1"/>
    <x v="1"/>
  </r>
  <r>
    <s v="TX500190"/>
    <x v="12"/>
    <x v="11"/>
    <n v="104"/>
    <x v="185"/>
    <x v="7"/>
    <d v="2025-01-10T00:00:00"/>
    <s v="F"/>
    <x v="2"/>
    <x v="2"/>
    <x v="0"/>
    <x v="17"/>
    <x v="1"/>
    <x v="1"/>
    <x v="2"/>
  </r>
  <r>
    <s v="TX500191"/>
    <x v="6"/>
    <x v="1"/>
    <n v="51.8"/>
    <x v="186"/>
    <x v="7"/>
    <d v="2025-01-12T00:00:00"/>
    <s v=""/>
    <x v="0"/>
    <x v="2"/>
    <x v="0"/>
    <x v="10"/>
    <x v="5"/>
    <x v="1"/>
    <x v="0"/>
  </r>
  <r>
    <s v="TX500192"/>
    <x v="10"/>
    <x v="9"/>
    <n v="34.5"/>
    <x v="187"/>
    <x v="7"/>
    <d v="2025-01-10T00:00:00"/>
    <s v=""/>
    <x v="2"/>
    <x v="2"/>
    <x v="0"/>
    <x v="11"/>
    <x v="1"/>
    <x v="1"/>
    <x v="0"/>
  </r>
  <r>
    <s v="TX500193"/>
    <x v="6"/>
    <x v="1"/>
    <n v="51.8"/>
    <x v="186"/>
    <x v="7"/>
    <d v="2025-01-10T00:00:00"/>
    <s v="M"/>
    <x v="1"/>
    <x v="2"/>
    <x v="0"/>
    <x v="30"/>
    <x v="1"/>
    <x v="1"/>
    <x v="1"/>
  </r>
  <r>
    <s v="TX500194"/>
    <x v="18"/>
    <x v="23"/>
    <n v="131.5"/>
    <x v="188"/>
    <x v="7"/>
    <d v="2025-01-09T00:00:00"/>
    <s v="F"/>
    <x v="0"/>
    <x v="2"/>
    <x v="0"/>
    <x v="18"/>
    <x v="3"/>
    <x v="1"/>
    <x v="2"/>
  </r>
  <r>
    <s v="TX500195"/>
    <x v="8"/>
    <x v="3"/>
    <n v="47.8"/>
    <x v="189"/>
    <x v="7"/>
    <d v="2025-01-08T00:00:00"/>
    <s v="F"/>
    <x v="0"/>
    <x v="0"/>
    <x v="0"/>
    <x v="19"/>
    <x v="7"/>
    <x v="1"/>
    <x v="2"/>
  </r>
  <r>
    <s v="TX500196"/>
    <x v="0"/>
    <x v="1"/>
    <n v="10.199999999999999"/>
    <x v="190"/>
    <x v="7"/>
    <d v="2025-01-10T00:00:00"/>
    <s v="F"/>
    <x v="0"/>
    <x v="0"/>
    <x v="0"/>
    <x v="19"/>
    <x v="1"/>
    <x v="1"/>
    <x v="2"/>
  </r>
  <r>
    <s v="TX500197"/>
    <x v="8"/>
    <x v="8"/>
    <n v="41"/>
    <x v="191"/>
    <x v="7"/>
    <d v="2025-01-08T00:00:00"/>
    <s v="F"/>
    <x v="1"/>
    <x v="2"/>
    <x v="0"/>
    <x v="19"/>
    <x v="7"/>
    <x v="1"/>
    <x v="2"/>
  </r>
  <r>
    <s v="TX500198"/>
    <x v="10"/>
    <x v="3"/>
    <n v="50.8"/>
    <x v="192"/>
    <x v="7"/>
    <d v="2025-01-11T00:00:00"/>
    <s v="F"/>
    <x v="1"/>
    <x v="0"/>
    <x v="0"/>
    <x v="21"/>
    <x v="2"/>
    <x v="1"/>
    <x v="2"/>
  </r>
  <r>
    <s v="TX500199"/>
    <x v="18"/>
    <x v="2"/>
    <n v="39.6"/>
    <x v="193"/>
    <x v="7"/>
    <d v="2025-01-09T00:00:00"/>
    <s v="M"/>
    <x v="2"/>
    <x v="2"/>
    <x v="0"/>
    <x v="1"/>
    <x v="3"/>
    <x v="1"/>
    <x v="1"/>
  </r>
  <r>
    <s v="TX500200"/>
    <x v="5"/>
    <x v="1"/>
    <n v="69.5"/>
    <x v="194"/>
    <x v="7"/>
    <d v="2025-01-10T00:00:00"/>
    <s v="M"/>
    <x v="0"/>
    <x v="2"/>
    <x v="0"/>
    <x v="2"/>
    <x v="1"/>
    <x v="1"/>
    <x v="1"/>
  </r>
  <r>
    <s v="TX500201"/>
    <x v="8"/>
    <x v="8"/>
    <n v="32.6"/>
    <x v="195"/>
    <x v="7"/>
    <d v="2025-01-11T00:00:00"/>
    <s v="M"/>
    <x v="1"/>
    <x v="0"/>
    <x v="0"/>
    <x v="3"/>
    <x v="2"/>
    <x v="1"/>
    <x v="1"/>
  </r>
  <r>
    <s v="TX500202"/>
    <x v="7"/>
    <x v="1"/>
    <n v="49.1"/>
    <x v="196"/>
    <x v="7"/>
    <d v="2025-01-16T00:00:00"/>
    <s v="M"/>
    <x v="3"/>
    <x v="2"/>
    <x v="0"/>
    <x v="3"/>
    <x v="9"/>
    <x v="1"/>
    <x v="1"/>
  </r>
  <r>
    <s v="TX500203"/>
    <x v="6"/>
    <x v="1"/>
    <n v="49.4"/>
    <x v="197"/>
    <x v="8"/>
    <d v="2025-01-10T00:00:00"/>
    <s v="F"/>
    <x v="2"/>
    <x v="0"/>
    <x v="0"/>
    <x v="3"/>
    <x v="3"/>
    <x v="1"/>
    <x v="2"/>
  </r>
  <r>
    <s v="TX500204"/>
    <x v="7"/>
    <x v="3"/>
    <n v="65.099999999999994"/>
    <x v="198"/>
    <x v="8"/>
    <d v="2025-01-12T00:00:00"/>
    <s v="F"/>
    <x v="2"/>
    <x v="2"/>
    <x v="0"/>
    <x v="3"/>
    <x v="2"/>
    <x v="1"/>
    <x v="2"/>
  </r>
  <r>
    <s v="TX500205"/>
    <x v="3"/>
    <x v="1"/>
    <n v="52.1"/>
    <x v="199"/>
    <x v="8"/>
    <d v="2025-01-13T00:00:00"/>
    <s v="F"/>
    <x v="2"/>
    <x v="0"/>
    <x v="0"/>
    <x v="3"/>
    <x v="5"/>
    <x v="1"/>
    <x v="2"/>
  </r>
  <r>
    <s v="TX500206"/>
    <x v="2"/>
    <x v="12"/>
    <n v="129.19999999999999"/>
    <x v="200"/>
    <x v="8"/>
    <d v="2025-01-10T00:00:00"/>
    <s v="F"/>
    <x v="1"/>
    <x v="0"/>
    <x v="0"/>
    <x v="3"/>
    <x v="3"/>
    <x v="1"/>
    <x v="2"/>
  </r>
  <r>
    <s v="TX500207"/>
    <x v="1"/>
    <x v="10"/>
    <n v="81.8"/>
    <x v="201"/>
    <x v="8"/>
    <d v="2025-01-09T00:00:00"/>
    <s v="F"/>
    <x v="1"/>
    <x v="1"/>
    <x v="0"/>
    <x v="3"/>
    <x v="7"/>
    <x v="1"/>
    <x v="2"/>
  </r>
  <r>
    <s v="TX500208"/>
    <x v="17"/>
    <x v="0"/>
    <n v="24.9"/>
    <x v="202"/>
    <x v="8"/>
    <d v="2025-01-13T00:00:00"/>
    <s v="F"/>
    <x v="1"/>
    <x v="0"/>
    <x v="0"/>
    <x v="3"/>
    <x v="5"/>
    <x v="1"/>
    <x v="2"/>
  </r>
  <r>
    <s v="TX500209"/>
    <x v="0"/>
    <x v="2"/>
    <n v="49.4"/>
    <x v="203"/>
    <x v="8"/>
    <d v="2025-01-12T00:00:00"/>
    <s v="F"/>
    <x v="4"/>
    <x v="4"/>
    <x v="0"/>
    <x v="3"/>
    <x v="2"/>
    <x v="1"/>
    <x v="2"/>
  </r>
  <r>
    <s v="TX500210"/>
    <x v="8"/>
    <x v="1"/>
    <n v="22.7"/>
    <x v="204"/>
    <x v="8"/>
    <d v="2025-01-10T00:00:00"/>
    <s v="M"/>
    <x v="3"/>
    <x v="2"/>
    <x v="0"/>
    <x v="3"/>
    <x v="3"/>
    <x v="1"/>
    <x v="1"/>
  </r>
  <r>
    <s v="TX500211"/>
    <x v="1"/>
    <x v="0"/>
    <n v="77.3"/>
    <x v="83"/>
    <x v="8"/>
    <d v="2025-01-09T00:00:00"/>
    <s v="F"/>
    <x v="0"/>
    <x v="2"/>
    <x v="0"/>
    <x v="6"/>
    <x v="7"/>
    <x v="1"/>
    <x v="2"/>
  </r>
  <r>
    <s v="TX500212"/>
    <x v="1"/>
    <x v="9"/>
    <n v="109.1"/>
    <x v="205"/>
    <x v="8"/>
    <d v="2025-01-12T00:00:00"/>
    <s v="F"/>
    <x v="0"/>
    <x v="0"/>
    <x v="0"/>
    <x v="6"/>
    <x v="2"/>
    <x v="1"/>
    <x v="2"/>
  </r>
  <r>
    <s v="TX500213"/>
    <x v="2"/>
    <x v="12"/>
    <n v="53.9"/>
    <x v="206"/>
    <x v="8"/>
    <d v="2025-01-10T00:00:00"/>
    <s v="M"/>
    <x v="0"/>
    <x v="1"/>
    <x v="0"/>
    <x v="8"/>
    <x v="3"/>
    <x v="1"/>
    <x v="1"/>
  </r>
  <r>
    <s v="TX500214"/>
    <x v="9"/>
    <x v="18"/>
    <n v="21.2"/>
    <x v="207"/>
    <x v="8"/>
    <d v="2025-01-09T00:00:00"/>
    <s v="F"/>
    <x v="0"/>
    <x v="0"/>
    <x v="0"/>
    <x v="9"/>
    <x v="7"/>
    <x v="1"/>
    <x v="2"/>
  </r>
  <r>
    <s v="TX500215"/>
    <x v="16"/>
    <x v="12"/>
    <n v="69"/>
    <x v="208"/>
    <x v="8"/>
    <d v="2025-01-11T00:00:00"/>
    <s v="F"/>
    <x v="1"/>
    <x v="1"/>
    <x v="0"/>
    <x v="18"/>
    <x v="1"/>
    <x v="1"/>
    <x v="2"/>
  </r>
  <r>
    <s v="TX500216"/>
    <x v="6"/>
    <x v="2"/>
    <n v="46.2"/>
    <x v="209"/>
    <x v="8"/>
    <d v="2025-01-11T00:00:00"/>
    <s v="F"/>
    <x v="0"/>
    <x v="2"/>
    <x v="0"/>
    <x v="31"/>
    <x v="1"/>
    <x v="1"/>
    <x v="2"/>
  </r>
  <r>
    <s v="TX500217"/>
    <x v="1"/>
    <x v="9"/>
    <n v="97.4"/>
    <x v="210"/>
    <x v="8"/>
    <d v="2025-01-13T00:00:00"/>
    <s v="F"/>
    <x v="4"/>
    <x v="2"/>
    <x v="0"/>
    <x v="21"/>
    <x v="5"/>
    <x v="1"/>
    <x v="2"/>
  </r>
  <r>
    <s v="TX500218"/>
    <x v="8"/>
    <x v="9"/>
    <n v="21"/>
    <x v="211"/>
    <x v="8"/>
    <d v="2025-01-10T00:00:00"/>
    <s v="M"/>
    <x v="0"/>
    <x v="1"/>
    <x v="0"/>
    <x v="21"/>
    <x v="3"/>
    <x v="1"/>
    <x v="1"/>
  </r>
  <r>
    <s v="TX500219"/>
    <x v="5"/>
    <x v="1"/>
    <n v="32.700000000000003"/>
    <x v="212"/>
    <x v="9"/>
    <d v="2025-01-13T00:00:00"/>
    <s v="F"/>
    <x v="1"/>
    <x v="0"/>
    <x v="0"/>
    <x v="2"/>
    <x v="2"/>
    <x v="1"/>
    <x v="2"/>
  </r>
  <r>
    <s v="TX500220"/>
    <x v="6"/>
    <x v="12"/>
    <n v="48"/>
    <x v="213"/>
    <x v="9"/>
    <d v="2025-01-11T00:00:00"/>
    <s v="M"/>
    <x v="3"/>
    <x v="0"/>
    <x v="0"/>
    <x v="3"/>
    <x v="3"/>
    <x v="1"/>
    <x v="1"/>
  </r>
  <r>
    <s v="TX500221"/>
    <x v="6"/>
    <x v="2"/>
    <n v="68.2"/>
    <x v="214"/>
    <x v="9"/>
    <d v="2025-01-14T00:00:00"/>
    <s v=""/>
    <x v="0"/>
    <x v="2"/>
    <x v="0"/>
    <x v="3"/>
    <x v="5"/>
    <x v="1"/>
    <x v="0"/>
  </r>
  <r>
    <s v="TX500222"/>
    <x v="5"/>
    <x v="0"/>
    <n v="45.4"/>
    <x v="204"/>
    <x v="9"/>
    <d v="2025-01-12T00:00:00"/>
    <s v="M"/>
    <x v="1"/>
    <x v="0"/>
    <x v="0"/>
    <x v="3"/>
    <x v="1"/>
    <x v="1"/>
    <x v="1"/>
  </r>
  <r>
    <s v="TX500223"/>
    <x v="12"/>
    <x v="1"/>
    <n v="53.9"/>
    <x v="215"/>
    <x v="9"/>
    <d v="2025-01-11T00:00:00"/>
    <s v="F"/>
    <x v="2"/>
    <x v="0"/>
    <x v="0"/>
    <x v="3"/>
    <x v="3"/>
    <x v="1"/>
    <x v="2"/>
  </r>
  <r>
    <s v="TX500224"/>
    <x v="2"/>
    <x v="12"/>
    <n v="62.1"/>
    <x v="216"/>
    <x v="9"/>
    <d v="2025-01-14T00:00:00"/>
    <s v="F"/>
    <x v="0"/>
    <x v="0"/>
    <x v="0"/>
    <x v="4"/>
    <x v="5"/>
    <x v="1"/>
    <x v="2"/>
  </r>
  <r>
    <s v="TX500225"/>
    <x v="13"/>
    <x v="3"/>
    <n v="33.1"/>
    <x v="217"/>
    <x v="9"/>
    <d v="2025-01-15T00:00:00"/>
    <s v="M"/>
    <x v="1"/>
    <x v="0"/>
    <x v="0"/>
    <x v="6"/>
    <x v="0"/>
    <x v="1"/>
    <x v="1"/>
  </r>
  <r>
    <s v="TX500226"/>
    <x v="18"/>
    <x v="9"/>
    <n v="35.200000000000003"/>
    <x v="218"/>
    <x v="9"/>
    <d v="2025-01-10T00:00:00"/>
    <s v="F"/>
    <x v="1"/>
    <x v="0"/>
    <x v="0"/>
    <x v="6"/>
    <x v="7"/>
    <x v="1"/>
    <x v="2"/>
  </r>
  <r>
    <s v="TX500227"/>
    <x v="9"/>
    <x v="2"/>
    <n v="32.1"/>
    <x v="219"/>
    <x v="9"/>
    <d v="2025-01-15T00:00:00"/>
    <s v="M"/>
    <x v="3"/>
    <x v="0"/>
    <x v="0"/>
    <x v="8"/>
    <x v="0"/>
    <x v="1"/>
    <x v="1"/>
  </r>
  <r>
    <s v="TX500228"/>
    <x v="11"/>
    <x v="0"/>
    <n v="38.1"/>
    <x v="220"/>
    <x v="9"/>
    <d v="2025-01-15T00:00:00"/>
    <s v="F"/>
    <x v="0"/>
    <x v="2"/>
    <x v="0"/>
    <x v="8"/>
    <x v="0"/>
    <x v="1"/>
    <x v="2"/>
  </r>
  <r>
    <s v="TX500229"/>
    <x v="8"/>
    <x v="0"/>
    <n v="65.2"/>
    <x v="221"/>
    <x v="9"/>
    <d v="2025-01-15T00:00:00"/>
    <s v="F"/>
    <x v="3"/>
    <x v="1"/>
    <x v="0"/>
    <x v="8"/>
    <x v="0"/>
    <x v="1"/>
    <x v="2"/>
  </r>
  <r>
    <s v="TX500230"/>
    <x v="10"/>
    <x v="3"/>
    <n v="55.2"/>
    <x v="222"/>
    <x v="9"/>
    <d v="2025-01-11T00:00:00"/>
    <s v="M"/>
    <x v="2"/>
    <x v="0"/>
    <x v="0"/>
    <x v="11"/>
    <x v="3"/>
    <x v="1"/>
    <x v="1"/>
  </r>
  <r>
    <s v="TX500231"/>
    <x v="6"/>
    <x v="0"/>
    <n v="62"/>
    <x v="85"/>
    <x v="9"/>
    <d v="2025-01-14T00:00:00"/>
    <s v="F"/>
    <x v="0"/>
    <x v="0"/>
    <x v="0"/>
    <x v="11"/>
    <x v="5"/>
    <x v="1"/>
    <x v="2"/>
  </r>
  <r>
    <s v="TX500232"/>
    <x v="7"/>
    <x v="2"/>
    <n v="45.9"/>
    <x v="223"/>
    <x v="9"/>
    <d v="2025-01-11T00:00:00"/>
    <s v="F"/>
    <x v="2"/>
    <x v="0"/>
    <x v="0"/>
    <x v="32"/>
    <x v="3"/>
    <x v="1"/>
    <x v="2"/>
  </r>
  <r>
    <s v="TX500233"/>
    <x v="18"/>
    <x v="2"/>
    <n v="58.3"/>
    <x v="224"/>
    <x v="9"/>
    <d v="2025-01-10T00:00:00"/>
    <s v="M"/>
    <x v="1"/>
    <x v="1"/>
    <x v="0"/>
    <x v="18"/>
    <x v="7"/>
    <x v="1"/>
    <x v="1"/>
  </r>
  <r>
    <s v="TX500234"/>
    <x v="8"/>
    <x v="1"/>
    <n v="22.3"/>
    <x v="225"/>
    <x v="9"/>
    <d v="2025-01-13T00:00:00"/>
    <s v="F"/>
    <x v="0"/>
    <x v="2"/>
    <x v="0"/>
    <x v="20"/>
    <x v="2"/>
    <x v="1"/>
    <x v="2"/>
  </r>
  <r>
    <s v="TX500235"/>
    <x v="19"/>
    <x v="9"/>
    <n v="24"/>
    <x v="160"/>
    <x v="9"/>
    <d v="2025-01-11T00:00:00"/>
    <s v="M"/>
    <x v="4"/>
    <x v="0"/>
    <x v="0"/>
    <x v="1"/>
    <x v="3"/>
    <x v="1"/>
    <x v="1"/>
  </r>
  <r>
    <s v="TX500236"/>
    <x v="0"/>
    <x v="7"/>
    <n v="21.3"/>
    <x v="226"/>
    <x v="9"/>
    <d v="2025-01-10T00:00:00"/>
    <s v="F"/>
    <x v="1"/>
    <x v="2"/>
    <x v="0"/>
    <x v="22"/>
    <x v="7"/>
    <x v="1"/>
    <x v="2"/>
  </r>
  <r>
    <s v="TX500237"/>
    <x v="6"/>
    <x v="24"/>
    <n v="57.8"/>
    <x v="227"/>
    <x v="9"/>
    <d v="2025-01-12T00:00:00"/>
    <s v="F"/>
    <x v="0"/>
    <x v="2"/>
    <x v="0"/>
    <x v="3"/>
    <x v="1"/>
    <x v="1"/>
    <x v="2"/>
  </r>
  <r>
    <s v="TX500238"/>
    <x v="10"/>
    <x v="2"/>
    <n v="67.599999999999994"/>
    <x v="228"/>
    <x v="9"/>
    <d v="2025-01-11T00:00:00"/>
    <s v="F"/>
    <x v="0"/>
    <x v="0"/>
    <x v="0"/>
    <x v="3"/>
    <x v="3"/>
    <x v="1"/>
    <x v="2"/>
  </r>
  <r>
    <s v="TX500239"/>
    <x v="6"/>
    <x v="13"/>
    <n v="66.7"/>
    <x v="229"/>
    <x v="9"/>
    <d v="2025-01-14T00:00:00"/>
    <s v="M"/>
    <x v="4"/>
    <x v="1"/>
    <x v="0"/>
    <x v="3"/>
    <x v="5"/>
    <x v="1"/>
    <x v="1"/>
  </r>
  <r>
    <s v="TX500240"/>
    <x v="1"/>
    <x v="12"/>
    <n v="53.1"/>
    <x v="230"/>
    <x v="9"/>
    <d v="2025-01-12T00:00:00"/>
    <s v="F"/>
    <x v="1"/>
    <x v="0"/>
    <x v="0"/>
    <x v="3"/>
    <x v="1"/>
    <x v="1"/>
    <x v="2"/>
  </r>
  <r>
    <s v="TX500241"/>
    <x v="12"/>
    <x v="2"/>
    <n v="57.4"/>
    <x v="231"/>
    <x v="9"/>
    <d v="2025-01-13T00:00:00"/>
    <s v="F"/>
    <x v="0"/>
    <x v="2"/>
    <x v="0"/>
    <x v="29"/>
    <x v="2"/>
    <x v="1"/>
    <x v="2"/>
  </r>
  <r>
    <s v="TX500242"/>
    <x v="2"/>
    <x v="9"/>
    <n v="58.1"/>
    <x v="232"/>
    <x v="9"/>
    <d v="2025-01-10T00:00:00"/>
    <s v="M"/>
    <x v="2"/>
    <x v="2"/>
    <x v="0"/>
    <x v="6"/>
    <x v="7"/>
    <x v="1"/>
    <x v="1"/>
  </r>
  <r>
    <s v="TX500243"/>
    <x v="5"/>
    <x v="2"/>
    <n v="31.8"/>
    <x v="233"/>
    <x v="10"/>
    <d v="2025-01-13T00:00:00"/>
    <s v="M"/>
    <x v="3"/>
    <x v="0"/>
    <x v="0"/>
    <x v="6"/>
    <x v="1"/>
    <x v="1"/>
    <x v="1"/>
  </r>
  <r>
    <s v="TX500244"/>
    <x v="4"/>
    <x v="2"/>
    <n v="31.5"/>
    <x v="234"/>
    <x v="10"/>
    <d v="2025-01-14T00:00:00"/>
    <s v="M"/>
    <x v="0"/>
    <x v="1"/>
    <x v="0"/>
    <x v="8"/>
    <x v="2"/>
    <x v="1"/>
    <x v="1"/>
  </r>
  <r>
    <s v="TX500245"/>
    <x v="6"/>
    <x v="3"/>
    <n v="55.9"/>
    <x v="235"/>
    <x v="10"/>
    <d v="2025-01-15T00:00:00"/>
    <s v="F"/>
    <x v="1"/>
    <x v="2"/>
    <x v="0"/>
    <x v="8"/>
    <x v="5"/>
    <x v="1"/>
    <x v="2"/>
  </r>
  <r>
    <s v="TX500246"/>
    <x v="8"/>
    <x v="1"/>
    <n v="36.4"/>
    <x v="236"/>
    <x v="10"/>
    <d v="2025-01-12T00:00:00"/>
    <s v="M"/>
    <x v="1"/>
    <x v="1"/>
    <x v="0"/>
    <x v="9"/>
    <x v="3"/>
    <x v="1"/>
    <x v="1"/>
  </r>
  <r>
    <s v="TX500247"/>
    <x v="1"/>
    <x v="9"/>
    <n v="47.3"/>
    <x v="237"/>
    <x v="10"/>
    <d v="2025-01-14T00:00:00"/>
    <s v="M"/>
    <x v="2"/>
    <x v="0"/>
    <x v="0"/>
    <x v="10"/>
    <x v="2"/>
    <x v="1"/>
    <x v="1"/>
  </r>
  <r>
    <s v="TX500248"/>
    <x v="6"/>
    <x v="2"/>
    <n v="82.5"/>
    <x v="238"/>
    <x v="10"/>
    <d v="2025-01-12T00:00:00"/>
    <s v="M"/>
    <x v="0"/>
    <x v="0"/>
    <x v="0"/>
    <x v="11"/>
    <x v="3"/>
    <x v="1"/>
    <x v="1"/>
  </r>
  <r>
    <s v="TX500249"/>
    <x v="0"/>
    <x v="0"/>
    <n v="14.3"/>
    <x v="239"/>
    <x v="10"/>
    <d v="2025-01-12T00:00:00"/>
    <s v="F"/>
    <x v="0"/>
    <x v="0"/>
    <x v="0"/>
    <x v="21"/>
    <x v="3"/>
    <x v="1"/>
    <x v="2"/>
  </r>
  <r>
    <s v="TX500250"/>
    <x v="2"/>
    <x v="13"/>
    <n v="57.6"/>
    <x v="240"/>
    <x v="10"/>
    <d v="2025-01-25T00:00:00"/>
    <s v="F"/>
    <x v="0"/>
    <x v="0"/>
    <x v="0"/>
    <x v="21"/>
    <x v="12"/>
    <x v="1"/>
    <x v="2"/>
  </r>
  <r>
    <s v="TX500251"/>
    <x v="2"/>
    <x v="2"/>
    <n v="142.4"/>
    <x v="241"/>
    <x v="10"/>
    <d v="2025-01-13T00:00:00"/>
    <s v="M"/>
    <x v="4"/>
    <x v="1"/>
    <x v="0"/>
    <x v="21"/>
    <x v="1"/>
    <x v="1"/>
    <x v="1"/>
  </r>
  <r>
    <s v="TX500252"/>
    <x v="12"/>
    <x v="0"/>
    <n v="30.2"/>
    <x v="242"/>
    <x v="10"/>
    <d v="2025-01-15T00:00:00"/>
    <s v="M"/>
    <x v="1"/>
    <x v="2"/>
    <x v="0"/>
    <x v="2"/>
    <x v="5"/>
    <x v="1"/>
    <x v="1"/>
  </r>
  <r>
    <s v="TX500253"/>
    <x v="18"/>
    <x v="2"/>
    <n v="65.3"/>
    <x v="243"/>
    <x v="10"/>
    <d v="2025-01-12T00:00:00"/>
    <s v="O"/>
    <x v="1"/>
    <x v="0"/>
    <x v="0"/>
    <x v="33"/>
    <x v="3"/>
    <x v="1"/>
    <x v="3"/>
  </r>
  <r>
    <s v="TX500254"/>
    <x v="0"/>
    <x v="1"/>
    <n v="33.4"/>
    <x v="119"/>
    <x v="10"/>
    <d v="2025-01-12T00:00:00"/>
    <s v="M"/>
    <x v="1"/>
    <x v="1"/>
    <x v="0"/>
    <x v="22"/>
    <x v="3"/>
    <x v="1"/>
    <x v="1"/>
  </r>
  <r>
    <s v="TX500255"/>
    <x v="7"/>
    <x v="1"/>
    <n v="45.1"/>
    <x v="244"/>
    <x v="10"/>
    <d v="2025-01-19T00:00:00"/>
    <s v="M"/>
    <x v="0"/>
    <x v="0"/>
    <x v="0"/>
    <x v="34"/>
    <x v="9"/>
    <x v="1"/>
    <x v="1"/>
  </r>
  <r>
    <s v="TX500256"/>
    <x v="2"/>
    <x v="3"/>
    <n v="61.7"/>
    <x v="245"/>
    <x v="10"/>
    <d v="2025-01-13T00:00:00"/>
    <s v="F"/>
    <x v="4"/>
    <x v="0"/>
    <x v="0"/>
    <x v="3"/>
    <x v="1"/>
    <x v="1"/>
    <x v="2"/>
  </r>
  <r>
    <s v="TX500257"/>
    <x v="9"/>
    <x v="2"/>
    <n v="45.1"/>
    <x v="246"/>
    <x v="11"/>
    <d v="2025-01-13T00:00:00"/>
    <s v="M"/>
    <x v="4"/>
    <x v="1"/>
    <x v="0"/>
    <x v="3"/>
    <x v="3"/>
    <x v="2"/>
    <x v="1"/>
  </r>
  <r>
    <s v="TX500258"/>
    <x v="15"/>
    <x v="9"/>
    <n v="22.7"/>
    <x v="247"/>
    <x v="11"/>
    <d v="2025-01-17T00:00:00"/>
    <s v="M"/>
    <x v="0"/>
    <x v="2"/>
    <x v="0"/>
    <x v="35"/>
    <x v="0"/>
    <x v="2"/>
    <x v="1"/>
  </r>
  <r>
    <s v="TX500259"/>
    <x v="8"/>
    <x v="0"/>
    <n v="17.600000000000001"/>
    <x v="248"/>
    <x v="11"/>
    <d v="2025-01-13T00:00:00"/>
    <s v="F"/>
    <x v="0"/>
    <x v="2"/>
    <x v="0"/>
    <x v="23"/>
    <x v="3"/>
    <x v="2"/>
    <x v="2"/>
  </r>
  <r>
    <s v="TX500260"/>
    <x v="14"/>
    <x v="1"/>
    <n v="11.3"/>
    <x v="249"/>
    <x v="11"/>
    <d v="2025-01-15T00:00:00"/>
    <s v="F"/>
    <x v="3"/>
    <x v="2"/>
    <x v="0"/>
    <x v="23"/>
    <x v="2"/>
    <x v="2"/>
    <x v="2"/>
  </r>
  <r>
    <s v="TX500261"/>
    <x v="6"/>
    <x v="2"/>
    <n v="53.4"/>
    <x v="250"/>
    <x v="11"/>
    <d v="2025-01-15T00:00:00"/>
    <s v="M"/>
    <x v="3"/>
    <x v="2"/>
    <x v="0"/>
    <x v="36"/>
    <x v="2"/>
    <x v="2"/>
    <x v="1"/>
  </r>
  <r>
    <s v="TX500262"/>
    <x v="6"/>
    <x v="5"/>
    <n v="51.1"/>
    <x v="251"/>
    <x v="11"/>
    <d v="2025-01-14T00:00:00"/>
    <s v="F"/>
    <x v="2"/>
    <x v="2"/>
    <x v="0"/>
    <x v="8"/>
    <x v="1"/>
    <x v="2"/>
    <x v="2"/>
  </r>
  <r>
    <s v="TX500263"/>
    <x v="8"/>
    <x v="1"/>
    <n v="27.5"/>
    <x v="252"/>
    <x v="11"/>
    <d v="2025-01-13T00:00:00"/>
    <s v="M"/>
    <x v="4"/>
    <x v="1"/>
    <x v="0"/>
    <x v="8"/>
    <x v="3"/>
    <x v="2"/>
    <x v="1"/>
  </r>
  <r>
    <s v="TX500264"/>
    <x v="9"/>
    <x v="0"/>
    <n v="33.5"/>
    <x v="253"/>
    <x v="11"/>
    <d v="2025-01-14T00:00:00"/>
    <s v="F"/>
    <x v="0"/>
    <x v="4"/>
    <x v="0"/>
    <x v="8"/>
    <x v="1"/>
    <x v="2"/>
    <x v="2"/>
  </r>
  <r>
    <s v="TX500265"/>
    <x v="4"/>
    <x v="0"/>
    <n v="59.5"/>
    <x v="254"/>
    <x v="11"/>
    <d v="2025-01-12T00:00:00"/>
    <s v="M"/>
    <x v="0"/>
    <x v="2"/>
    <x v="0"/>
    <x v="18"/>
    <x v="7"/>
    <x v="2"/>
    <x v="1"/>
  </r>
  <r>
    <s v="TX500266"/>
    <x v="17"/>
    <x v="12"/>
    <n v="23.5"/>
    <x v="255"/>
    <x v="11"/>
    <d v="2025-01-13T00:00:00"/>
    <s v="F"/>
    <x v="3"/>
    <x v="3"/>
    <x v="0"/>
    <x v="19"/>
    <x v="3"/>
    <x v="2"/>
    <x v="2"/>
  </r>
  <r>
    <s v="TX500267"/>
    <x v="6"/>
    <x v="0"/>
    <n v="49.7"/>
    <x v="256"/>
    <x v="11"/>
    <d v="2025-01-13T00:00:00"/>
    <s v=""/>
    <x v="1"/>
    <x v="2"/>
    <x v="0"/>
    <x v="20"/>
    <x v="3"/>
    <x v="2"/>
    <x v="0"/>
  </r>
  <r>
    <s v="TX500268"/>
    <x v="6"/>
    <x v="12"/>
    <n v="44.2"/>
    <x v="257"/>
    <x v="11"/>
    <d v="2025-01-15T00:00:00"/>
    <s v="F"/>
    <x v="0"/>
    <x v="2"/>
    <x v="0"/>
    <x v="21"/>
    <x v="2"/>
    <x v="2"/>
    <x v="2"/>
  </r>
  <r>
    <s v="TX500269"/>
    <x v="8"/>
    <x v="0"/>
    <n v="22.1"/>
    <x v="258"/>
    <x v="11"/>
    <d v="2025-01-16T00:00:00"/>
    <s v="F"/>
    <x v="1"/>
    <x v="1"/>
    <x v="0"/>
    <x v="33"/>
    <x v="5"/>
    <x v="2"/>
    <x v="2"/>
  </r>
  <r>
    <s v="TX500270"/>
    <x v="6"/>
    <x v="2"/>
    <n v="90.9"/>
    <x v="259"/>
    <x v="11"/>
    <d v="2025-01-13T00:00:00"/>
    <s v="F"/>
    <x v="2"/>
    <x v="4"/>
    <x v="0"/>
    <x v="3"/>
    <x v="3"/>
    <x v="2"/>
    <x v="2"/>
  </r>
  <r>
    <s v="TX500271"/>
    <x v="8"/>
    <x v="2"/>
    <n v="44.5"/>
    <x v="260"/>
    <x v="11"/>
    <d v="2025-01-13T00:00:00"/>
    <s v="F"/>
    <x v="1"/>
    <x v="0"/>
    <x v="0"/>
    <x v="3"/>
    <x v="3"/>
    <x v="2"/>
    <x v="2"/>
  </r>
  <r>
    <s v="TX500272"/>
    <x v="9"/>
    <x v="13"/>
    <n v="32.299999999999997"/>
    <x v="261"/>
    <x v="11"/>
    <d v="2025-01-16T00:00:00"/>
    <s v="F"/>
    <x v="0"/>
    <x v="0"/>
    <x v="0"/>
    <x v="3"/>
    <x v="5"/>
    <x v="2"/>
    <x v="2"/>
  </r>
  <r>
    <s v="TX500273"/>
    <x v="17"/>
    <x v="2"/>
    <n v="87.5"/>
    <x v="175"/>
    <x v="11"/>
    <d v="2025-01-13T00:00:00"/>
    <s v="F"/>
    <x v="1"/>
    <x v="1"/>
    <x v="0"/>
    <x v="3"/>
    <x v="3"/>
    <x v="2"/>
    <x v="2"/>
  </r>
  <r>
    <s v="TX500274"/>
    <x v="16"/>
    <x v="9"/>
    <n v="48.7"/>
    <x v="262"/>
    <x v="11"/>
    <d v="2025-01-13T00:00:00"/>
    <s v="M"/>
    <x v="2"/>
    <x v="0"/>
    <x v="0"/>
    <x v="3"/>
    <x v="3"/>
    <x v="2"/>
    <x v="1"/>
  </r>
  <r>
    <s v="TX500275"/>
    <x v="0"/>
    <x v="9"/>
    <n v="22.5"/>
    <x v="158"/>
    <x v="11"/>
    <d v="2025-01-13T00:00:00"/>
    <s v="M"/>
    <x v="0"/>
    <x v="0"/>
    <x v="0"/>
    <x v="3"/>
    <x v="3"/>
    <x v="2"/>
    <x v="1"/>
  </r>
  <r>
    <s v="TX500276"/>
    <x v="1"/>
    <x v="8"/>
    <n v="65.900000000000006"/>
    <x v="263"/>
    <x v="11"/>
    <d v="2025-01-15T00:00:00"/>
    <s v="F"/>
    <x v="1"/>
    <x v="2"/>
    <x v="0"/>
    <x v="3"/>
    <x v="2"/>
    <x v="2"/>
    <x v="2"/>
  </r>
  <r>
    <s v="TX500277"/>
    <x v="6"/>
    <x v="9"/>
    <n v="41.9"/>
    <x v="264"/>
    <x v="11"/>
    <d v="2025-01-19T00:00:00"/>
    <s v=""/>
    <x v="0"/>
    <x v="0"/>
    <x v="0"/>
    <x v="3"/>
    <x v="6"/>
    <x v="2"/>
    <x v="0"/>
  </r>
  <r>
    <s v="TX500278"/>
    <x v="1"/>
    <x v="9"/>
    <n v="67.5"/>
    <x v="265"/>
    <x v="11"/>
    <d v="2025-01-13T00:00:00"/>
    <s v="F"/>
    <x v="0"/>
    <x v="2"/>
    <x v="0"/>
    <x v="3"/>
    <x v="3"/>
    <x v="2"/>
    <x v="2"/>
  </r>
  <r>
    <s v="TX500279"/>
    <x v="9"/>
    <x v="0"/>
    <n v="60.4"/>
    <x v="266"/>
    <x v="12"/>
    <d v="2025-01-15T00:00:00"/>
    <s v="F"/>
    <x v="1"/>
    <x v="1"/>
    <x v="0"/>
    <x v="3"/>
    <x v="1"/>
    <x v="2"/>
    <x v="2"/>
  </r>
  <r>
    <s v="TX500280"/>
    <x v="1"/>
    <x v="3"/>
    <n v="30.4"/>
    <x v="267"/>
    <x v="12"/>
    <d v="2025-01-16T00:00:00"/>
    <s v="F"/>
    <x v="4"/>
    <x v="0"/>
    <x v="0"/>
    <x v="3"/>
    <x v="2"/>
    <x v="2"/>
    <x v="2"/>
  </r>
  <r>
    <s v="TX500281"/>
    <x v="14"/>
    <x v="1"/>
    <n v="24.5"/>
    <x v="268"/>
    <x v="12"/>
    <d v="2025-01-14T00:00:00"/>
    <s v="M"/>
    <x v="3"/>
    <x v="2"/>
    <x v="0"/>
    <x v="3"/>
    <x v="3"/>
    <x v="2"/>
    <x v="1"/>
  </r>
  <r>
    <s v="TX500282"/>
    <x v="2"/>
    <x v="2"/>
    <n v="105.9"/>
    <x v="269"/>
    <x v="12"/>
    <d v="2025-01-18T00:00:00"/>
    <s v="M"/>
    <x v="0"/>
    <x v="0"/>
    <x v="0"/>
    <x v="37"/>
    <x v="0"/>
    <x v="2"/>
    <x v="1"/>
  </r>
  <r>
    <s v="TX500283"/>
    <x v="10"/>
    <x v="25"/>
    <n v="25.9"/>
    <x v="270"/>
    <x v="12"/>
    <d v="2025-01-14T00:00:00"/>
    <s v="F"/>
    <x v="4"/>
    <x v="0"/>
    <x v="0"/>
    <x v="23"/>
    <x v="3"/>
    <x v="2"/>
    <x v="2"/>
  </r>
  <r>
    <s v="TX500284"/>
    <x v="6"/>
    <x v="2"/>
    <n v="66.8"/>
    <x v="271"/>
    <x v="12"/>
    <d v="2025-01-13T00:00:00"/>
    <s v="M"/>
    <x v="0"/>
    <x v="0"/>
    <x v="0"/>
    <x v="23"/>
    <x v="7"/>
    <x v="2"/>
    <x v="1"/>
  </r>
  <r>
    <s v="TX500285"/>
    <x v="6"/>
    <x v="2"/>
    <n v="112.3"/>
    <x v="272"/>
    <x v="12"/>
    <d v="2025-01-14T00:00:00"/>
    <s v="M"/>
    <x v="2"/>
    <x v="4"/>
    <x v="0"/>
    <x v="6"/>
    <x v="3"/>
    <x v="2"/>
    <x v="1"/>
  </r>
  <r>
    <s v="TX500286"/>
    <x v="1"/>
    <x v="13"/>
    <n v="94.1"/>
    <x v="273"/>
    <x v="12"/>
    <d v="2025-01-14T00:00:00"/>
    <s v="F"/>
    <x v="0"/>
    <x v="4"/>
    <x v="0"/>
    <x v="6"/>
    <x v="3"/>
    <x v="2"/>
    <x v="2"/>
  </r>
  <r>
    <s v="TX500287"/>
    <x v="5"/>
    <x v="0"/>
    <n v="40.700000000000003"/>
    <x v="274"/>
    <x v="12"/>
    <d v="2025-01-16T00:00:00"/>
    <s v="F"/>
    <x v="2"/>
    <x v="0"/>
    <x v="0"/>
    <x v="6"/>
    <x v="2"/>
    <x v="2"/>
    <x v="2"/>
  </r>
  <r>
    <s v="TX500288"/>
    <x v="3"/>
    <x v="1"/>
    <n v="71.400000000000006"/>
    <x v="275"/>
    <x v="12"/>
    <d v="2025-01-14T00:00:00"/>
    <s v="M"/>
    <x v="0"/>
    <x v="0"/>
    <x v="0"/>
    <x v="7"/>
    <x v="3"/>
    <x v="2"/>
    <x v="1"/>
  </r>
  <r>
    <s v="TX500289"/>
    <x v="0"/>
    <x v="16"/>
    <n v="15.6"/>
    <x v="276"/>
    <x v="12"/>
    <d v="2025-01-14T00:00:00"/>
    <s v="M"/>
    <x v="1"/>
    <x v="3"/>
    <x v="0"/>
    <x v="8"/>
    <x v="3"/>
    <x v="2"/>
    <x v="1"/>
  </r>
  <r>
    <s v="TX500290"/>
    <x v="10"/>
    <x v="12"/>
    <n v="37.799999999999997"/>
    <x v="277"/>
    <x v="12"/>
    <d v="2025-01-14T00:00:00"/>
    <s v="M"/>
    <x v="2"/>
    <x v="2"/>
    <x v="0"/>
    <x v="8"/>
    <x v="3"/>
    <x v="2"/>
    <x v="1"/>
  </r>
  <r>
    <s v="TX500291"/>
    <x v="4"/>
    <x v="2"/>
    <n v="28.1"/>
    <x v="278"/>
    <x v="12"/>
    <d v="2025-01-17T00:00:00"/>
    <s v="M"/>
    <x v="0"/>
    <x v="0"/>
    <x v="0"/>
    <x v="8"/>
    <x v="5"/>
    <x v="2"/>
    <x v="1"/>
  </r>
  <r>
    <s v="TX500292"/>
    <x v="7"/>
    <x v="13"/>
    <n v="51.4"/>
    <x v="279"/>
    <x v="12"/>
    <d v="2025-01-17T00:00:00"/>
    <s v="M"/>
    <x v="0"/>
    <x v="0"/>
    <x v="0"/>
    <x v="8"/>
    <x v="5"/>
    <x v="2"/>
    <x v="1"/>
  </r>
  <r>
    <s v="TX500293"/>
    <x v="7"/>
    <x v="1"/>
    <n v="97.7"/>
    <x v="280"/>
    <x v="12"/>
    <d v="2025-01-15T00:00:00"/>
    <s v="F"/>
    <x v="4"/>
    <x v="2"/>
    <x v="0"/>
    <x v="17"/>
    <x v="1"/>
    <x v="2"/>
    <x v="2"/>
  </r>
  <r>
    <s v="TX500294"/>
    <x v="1"/>
    <x v="12"/>
    <n v="63.8"/>
    <x v="281"/>
    <x v="12"/>
    <d v="2025-01-14T00:00:00"/>
    <s v="M"/>
    <x v="2"/>
    <x v="0"/>
    <x v="0"/>
    <x v="38"/>
    <x v="3"/>
    <x v="2"/>
    <x v="1"/>
  </r>
  <r>
    <s v="TX500295"/>
    <x v="13"/>
    <x v="1"/>
    <n v="20.100000000000001"/>
    <x v="282"/>
    <x v="12"/>
    <d v="2025-01-15T00:00:00"/>
    <s v="M"/>
    <x v="0"/>
    <x v="2"/>
    <x v="0"/>
    <x v="20"/>
    <x v="1"/>
    <x v="2"/>
    <x v="1"/>
  </r>
  <r>
    <s v="TX500296"/>
    <x v="11"/>
    <x v="2"/>
    <n v="50.4"/>
    <x v="277"/>
    <x v="12"/>
    <d v="2025-01-16T00:00:00"/>
    <s v="F"/>
    <x v="3"/>
    <x v="0"/>
    <x v="0"/>
    <x v="13"/>
    <x v="2"/>
    <x v="2"/>
    <x v="2"/>
  </r>
  <r>
    <s v="TX500297"/>
    <x v="0"/>
    <x v="0"/>
    <n v="16.2"/>
    <x v="283"/>
    <x v="12"/>
    <d v="2025-01-26T00:00:00"/>
    <s v="F"/>
    <x v="1"/>
    <x v="0"/>
    <x v="0"/>
    <x v="1"/>
    <x v="10"/>
    <x v="2"/>
    <x v="2"/>
  </r>
  <r>
    <s v="TX500298"/>
    <x v="6"/>
    <x v="3"/>
    <n v="80.900000000000006"/>
    <x v="284"/>
    <x v="12"/>
    <d v="2025-01-15T00:00:00"/>
    <s v="M"/>
    <x v="4"/>
    <x v="4"/>
    <x v="0"/>
    <x v="2"/>
    <x v="1"/>
    <x v="2"/>
    <x v="1"/>
  </r>
  <r>
    <s v="TX500299"/>
    <x v="9"/>
    <x v="13"/>
    <n v="95.2"/>
    <x v="285"/>
    <x v="12"/>
    <d v="2025-01-15T00:00:00"/>
    <s v="F"/>
    <x v="0"/>
    <x v="2"/>
    <x v="0"/>
    <x v="2"/>
    <x v="1"/>
    <x v="2"/>
    <x v="2"/>
  </r>
  <r>
    <s v="TX500300"/>
    <x v="5"/>
    <x v="8"/>
    <n v="70.400000000000006"/>
    <x v="286"/>
    <x v="12"/>
    <d v="2025-01-14T00:00:00"/>
    <s v="M"/>
    <x v="1"/>
    <x v="1"/>
    <x v="0"/>
    <x v="3"/>
    <x v="3"/>
    <x v="2"/>
    <x v="1"/>
  </r>
  <r>
    <s v="TX500301"/>
    <x v="0"/>
    <x v="9"/>
    <n v="10.7"/>
    <x v="287"/>
    <x v="12"/>
    <d v="2025-01-17T00:00:00"/>
    <s v="F"/>
    <x v="2"/>
    <x v="0"/>
    <x v="0"/>
    <x v="3"/>
    <x v="5"/>
    <x v="2"/>
    <x v="2"/>
  </r>
  <r>
    <s v="TX500302"/>
    <x v="8"/>
    <x v="9"/>
    <n v="19.600000000000001"/>
    <x v="11"/>
    <x v="12"/>
    <d v="2025-01-15T00:00:00"/>
    <s v="F"/>
    <x v="0"/>
    <x v="3"/>
    <x v="0"/>
    <x v="3"/>
    <x v="1"/>
    <x v="2"/>
    <x v="2"/>
  </r>
  <r>
    <s v="TX500303"/>
    <x v="8"/>
    <x v="5"/>
    <n v="34.700000000000003"/>
    <x v="288"/>
    <x v="12"/>
    <d v="2025-01-15T00:00:00"/>
    <s v="F"/>
    <x v="0"/>
    <x v="2"/>
    <x v="0"/>
    <x v="3"/>
    <x v="1"/>
    <x v="2"/>
    <x v="2"/>
  </r>
  <r>
    <s v="TX500304"/>
    <x v="10"/>
    <x v="11"/>
    <n v="34.1"/>
    <x v="289"/>
    <x v="12"/>
    <d v="2025-01-14T00:00:00"/>
    <s v="F"/>
    <x v="4"/>
    <x v="1"/>
    <x v="0"/>
    <x v="3"/>
    <x v="3"/>
    <x v="2"/>
    <x v="2"/>
  </r>
  <r>
    <s v="TX500305"/>
    <x v="0"/>
    <x v="26"/>
    <n v="29.3"/>
    <x v="290"/>
    <x v="12"/>
    <d v="2025-01-13T00:00:00"/>
    <s v="M"/>
    <x v="0"/>
    <x v="1"/>
    <x v="0"/>
    <x v="3"/>
    <x v="7"/>
    <x v="2"/>
    <x v="1"/>
  </r>
  <r>
    <s v="TX500306"/>
    <x v="1"/>
    <x v="0"/>
    <n v="55.2"/>
    <x v="291"/>
    <x v="12"/>
    <d v="2025-01-14T00:00:00"/>
    <s v="F"/>
    <x v="0"/>
    <x v="1"/>
    <x v="0"/>
    <x v="3"/>
    <x v="3"/>
    <x v="2"/>
    <x v="2"/>
  </r>
  <r>
    <s v="TX500307"/>
    <x v="18"/>
    <x v="2"/>
    <n v="26"/>
    <x v="292"/>
    <x v="12"/>
    <d v="2025-01-16T00:00:00"/>
    <s v="F"/>
    <x v="0"/>
    <x v="2"/>
    <x v="0"/>
    <x v="3"/>
    <x v="2"/>
    <x v="2"/>
    <x v="2"/>
  </r>
  <r>
    <s v="TX500308"/>
    <x v="14"/>
    <x v="1"/>
    <n v="14.2"/>
    <x v="293"/>
    <x v="12"/>
    <d v="2025-01-18T00:00:00"/>
    <s v="F"/>
    <x v="3"/>
    <x v="0"/>
    <x v="0"/>
    <x v="39"/>
    <x v="0"/>
    <x v="2"/>
    <x v="2"/>
  </r>
  <r>
    <s v="TX500309"/>
    <x v="8"/>
    <x v="11"/>
    <n v="22.7"/>
    <x v="294"/>
    <x v="13"/>
    <d v="2025-01-15T00:00:00"/>
    <s v="M"/>
    <x v="1"/>
    <x v="0"/>
    <x v="0"/>
    <x v="6"/>
    <x v="3"/>
    <x v="2"/>
    <x v="1"/>
  </r>
  <r>
    <s v="TX500310"/>
    <x v="0"/>
    <x v="20"/>
    <n v="19.8"/>
    <x v="295"/>
    <x v="13"/>
    <d v="2025-01-14T00:00:00"/>
    <s v="F"/>
    <x v="0"/>
    <x v="2"/>
    <x v="0"/>
    <x v="6"/>
    <x v="7"/>
    <x v="2"/>
    <x v="2"/>
  </r>
  <r>
    <s v="TX500311"/>
    <x v="0"/>
    <x v="2"/>
    <n v="31.7"/>
    <x v="296"/>
    <x v="13"/>
    <d v="2025-01-15T00:00:00"/>
    <s v="M"/>
    <x v="2"/>
    <x v="0"/>
    <x v="0"/>
    <x v="6"/>
    <x v="3"/>
    <x v="2"/>
    <x v="1"/>
  </r>
  <r>
    <s v="TX500312"/>
    <x v="8"/>
    <x v="12"/>
    <n v="30.4"/>
    <x v="297"/>
    <x v="13"/>
    <d v="2025-01-18T00:00:00"/>
    <s v="M"/>
    <x v="0"/>
    <x v="0"/>
    <x v="0"/>
    <x v="6"/>
    <x v="5"/>
    <x v="2"/>
    <x v="1"/>
  </r>
  <r>
    <s v="TX500313"/>
    <x v="0"/>
    <x v="12"/>
    <n v="25.6"/>
    <x v="298"/>
    <x v="13"/>
    <d v="2025-01-15T00:00:00"/>
    <s v="M"/>
    <x v="3"/>
    <x v="0"/>
    <x v="0"/>
    <x v="8"/>
    <x v="3"/>
    <x v="2"/>
    <x v="1"/>
  </r>
  <r>
    <s v="TX500314"/>
    <x v="5"/>
    <x v="1"/>
    <n v="34.9"/>
    <x v="299"/>
    <x v="13"/>
    <d v="2025-01-15T00:00:00"/>
    <s v="F"/>
    <x v="2"/>
    <x v="0"/>
    <x v="0"/>
    <x v="9"/>
    <x v="3"/>
    <x v="2"/>
    <x v="2"/>
  </r>
  <r>
    <s v="TX500315"/>
    <x v="7"/>
    <x v="13"/>
    <n v="42.7"/>
    <x v="300"/>
    <x v="13"/>
    <d v="2025-01-17T00:00:00"/>
    <s v="M"/>
    <x v="2"/>
    <x v="1"/>
    <x v="0"/>
    <x v="11"/>
    <x v="2"/>
    <x v="2"/>
    <x v="1"/>
  </r>
  <r>
    <s v="TX500316"/>
    <x v="8"/>
    <x v="0"/>
    <n v="23.9"/>
    <x v="301"/>
    <x v="13"/>
    <d v="2025-01-16T00:00:00"/>
    <s v="F"/>
    <x v="3"/>
    <x v="0"/>
    <x v="0"/>
    <x v="11"/>
    <x v="1"/>
    <x v="2"/>
    <x v="2"/>
  </r>
  <r>
    <s v="TX500317"/>
    <x v="6"/>
    <x v="0"/>
    <n v="124.3"/>
    <x v="302"/>
    <x v="13"/>
    <d v="2025-01-15T00:00:00"/>
    <s v=""/>
    <x v="2"/>
    <x v="1"/>
    <x v="0"/>
    <x v="21"/>
    <x v="3"/>
    <x v="2"/>
    <x v="0"/>
  </r>
  <r>
    <s v="TX500318"/>
    <x v="8"/>
    <x v="13"/>
    <n v="35.9"/>
    <x v="303"/>
    <x v="13"/>
    <d v="2025-01-15T00:00:00"/>
    <s v="F"/>
    <x v="0"/>
    <x v="1"/>
    <x v="0"/>
    <x v="1"/>
    <x v="3"/>
    <x v="2"/>
    <x v="2"/>
  </r>
  <r>
    <s v="TX500319"/>
    <x v="2"/>
    <x v="1"/>
    <n v="69.099999999999994"/>
    <x v="304"/>
    <x v="13"/>
    <d v="2025-01-17T00:00:00"/>
    <s v="F"/>
    <x v="0"/>
    <x v="2"/>
    <x v="0"/>
    <x v="22"/>
    <x v="2"/>
    <x v="2"/>
    <x v="2"/>
  </r>
  <r>
    <s v="TX500320"/>
    <x v="7"/>
    <x v="0"/>
    <n v="58.4"/>
    <x v="305"/>
    <x v="13"/>
    <d v="2025-01-18T00:00:00"/>
    <s v="M"/>
    <x v="0"/>
    <x v="0"/>
    <x v="0"/>
    <x v="22"/>
    <x v="5"/>
    <x v="2"/>
    <x v="1"/>
  </r>
  <r>
    <s v="TX500321"/>
    <x v="5"/>
    <x v="0"/>
    <n v="65.2"/>
    <x v="221"/>
    <x v="13"/>
    <d v="2025-01-16T00:00:00"/>
    <s v="O"/>
    <x v="4"/>
    <x v="4"/>
    <x v="0"/>
    <x v="3"/>
    <x v="1"/>
    <x v="2"/>
    <x v="3"/>
  </r>
  <r>
    <s v="TX500322"/>
    <x v="8"/>
    <x v="14"/>
    <n v="32.700000000000003"/>
    <x v="306"/>
    <x v="13"/>
    <d v="2025-01-21T00:00:00"/>
    <s v=""/>
    <x v="4"/>
    <x v="0"/>
    <x v="0"/>
    <x v="3"/>
    <x v="6"/>
    <x v="2"/>
    <x v="0"/>
  </r>
  <r>
    <s v="TX500323"/>
    <x v="10"/>
    <x v="3"/>
    <n v="24.4"/>
    <x v="307"/>
    <x v="13"/>
    <d v="2025-01-15T00:00:00"/>
    <s v="F"/>
    <x v="0"/>
    <x v="0"/>
    <x v="0"/>
    <x v="3"/>
    <x v="3"/>
    <x v="2"/>
    <x v="2"/>
  </r>
  <r>
    <s v="TX500324"/>
    <x v="14"/>
    <x v="1"/>
    <n v="50.4"/>
    <x v="90"/>
    <x v="13"/>
    <d v="2025-01-20T00:00:00"/>
    <s v="M"/>
    <x v="0"/>
    <x v="1"/>
    <x v="0"/>
    <x v="3"/>
    <x v="4"/>
    <x v="2"/>
    <x v="1"/>
  </r>
  <r>
    <s v="TX500325"/>
    <x v="1"/>
    <x v="1"/>
    <n v="100"/>
    <x v="308"/>
    <x v="13"/>
    <d v="2025-01-15T00:00:00"/>
    <s v="F"/>
    <x v="0"/>
    <x v="0"/>
    <x v="0"/>
    <x v="3"/>
    <x v="3"/>
    <x v="2"/>
    <x v="2"/>
  </r>
  <r>
    <s v="TX500326"/>
    <x v="10"/>
    <x v="2"/>
    <n v="43"/>
    <x v="309"/>
    <x v="14"/>
    <d v="2025-01-15T00:00:00"/>
    <s v="F"/>
    <x v="2"/>
    <x v="1"/>
    <x v="0"/>
    <x v="3"/>
    <x v="7"/>
    <x v="2"/>
    <x v="2"/>
  </r>
  <r>
    <s v="TX500327"/>
    <x v="1"/>
    <x v="9"/>
    <n v="64.400000000000006"/>
    <x v="310"/>
    <x v="14"/>
    <d v="2025-01-17T00:00:00"/>
    <s v="M"/>
    <x v="2"/>
    <x v="1"/>
    <x v="0"/>
    <x v="3"/>
    <x v="1"/>
    <x v="2"/>
    <x v="1"/>
  </r>
  <r>
    <s v="TX500328"/>
    <x v="18"/>
    <x v="1"/>
    <n v="57.4"/>
    <x v="311"/>
    <x v="14"/>
    <d v="2025-01-16T00:00:00"/>
    <s v="M"/>
    <x v="2"/>
    <x v="1"/>
    <x v="0"/>
    <x v="3"/>
    <x v="3"/>
    <x v="2"/>
    <x v="1"/>
  </r>
  <r>
    <s v="TX500329"/>
    <x v="2"/>
    <x v="2"/>
    <n v="55.1"/>
    <x v="312"/>
    <x v="14"/>
    <d v="2025-01-18T00:00:00"/>
    <s v="F"/>
    <x v="1"/>
    <x v="0"/>
    <x v="0"/>
    <x v="3"/>
    <x v="2"/>
    <x v="2"/>
    <x v="2"/>
  </r>
  <r>
    <s v="TX500330"/>
    <x v="7"/>
    <x v="12"/>
    <n v="45.4"/>
    <x v="106"/>
    <x v="14"/>
    <d v="2025-01-16T00:00:00"/>
    <s v="F"/>
    <x v="1"/>
    <x v="0"/>
    <x v="0"/>
    <x v="3"/>
    <x v="3"/>
    <x v="2"/>
    <x v="2"/>
  </r>
  <r>
    <s v="TX500331"/>
    <x v="3"/>
    <x v="2"/>
    <n v="93.3"/>
    <x v="313"/>
    <x v="14"/>
    <d v="2025-01-16T00:00:00"/>
    <s v="F"/>
    <x v="0"/>
    <x v="0"/>
    <x v="0"/>
    <x v="40"/>
    <x v="3"/>
    <x v="2"/>
    <x v="2"/>
  </r>
  <r>
    <s v="TX500332"/>
    <x v="2"/>
    <x v="10"/>
    <n v="158.19999999999999"/>
    <x v="314"/>
    <x v="14"/>
    <d v="2025-01-16T00:00:00"/>
    <s v="F"/>
    <x v="1"/>
    <x v="2"/>
    <x v="0"/>
    <x v="16"/>
    <x v="3"/>
    <x v="2"/>
    <x v="2"/>
  </r>
  <r>
    <s v="TX500333"/>
    <x v="2"/>
    <x v="1"/>
    <n v="74.900000000000006"/>
    <x v="315"/>
    <x v="14"/>
    <d v="2025-01-17T00:00:00"/>
    <s v="M"/>
    <x v="3"/>
    <x v="0"/>
    <x v="0"/>
    <x v="6"/>
    <x v="1"/>
    <x v="2"/>
    <x v="1"/>
  </r>
  <r>
    <s v="TX500334"/>
    <x v="8"/>
    <x v="3"/>
    <n v="26"/>
    <x v="316"/>
    <x v="14"/>
    <d v="2025-01-18T00:00:00"/>
    <s v="F"/>
    <x v="1"/>
    <x v="0"/>
    <x v="0"/>
    <x v="8"/>
    <x v="2"/>
    <x v="2"/>
    <x v="2"/>
  </r>
  <r>
    <s v="TX500335"/>
    <x v="9"/>
    <x v="13"/>
    <n v="37.5"/>
    <x v="317"/>
    <x v="14"/>
    <d v="2025-01-16T00:00:00"/>
    <s v="F"/>
    <x v="0"/>
    <x v="1"/>
    <x v="0"/>
    <x v="8"/>
    <x v="3"/>
    <x v="2"/>
    <x v="2"/>
  </r>
  <r>
    <s v="TX500336"/>
    <x v="6"/>
    <x v="1"/>
    <n v="75.8"/>
    <x v="318"/>
    <x v="14"/>
    <d v="2025-01-21T00:00:00"/>
    <s v="M"/>
    <x v="0"/>
    <x v="0"/>
    <x v="0"/>
    <x v="8"/>
    <x v="4"/>
    <x v="2"/>
    <x v="1"/>
  </r>
  <r>
    <s v="TX500337"/>
    <x v="7"/>
    <x v="0"/>
    <n v="48.5"/>
    <x v="319"/>
    <x v="14"/>
    <d v="2025-01-27T00:00:00"/>
    <s v=""/>
    <x v="4"/>
    <x v="2"/>
    <x v="0"/>
    <x v="8"/>
    <x v="13"/>
    <x v="2"/>
    <x v="0"/>
  </r>
  <r>
    <s v="TX500338"/>
    <x v="6"/>
    <x v="2"/>
    <n v="98.9"/>
    <x v="320"/>
    <x v="14"/>
    <d v="2025-01-17T00:00:00"/>
    <s v="F"/>
    <x v="4"/>
    <x v="1"/>
    <x v="0"/>
    <x v="8"/>
    <x v="1"/>
    <x v="2"/>
    <x v="2"/>
  </r>
  <r>
    <s v="TX500339"/>
    <x v="1"/>
    <x v="4"/>
    <n v="50.9"/>
    <x v="321"/>
    <x v="14"/>
    <d v="2025-01-15T00:00:00"/>
    <s v="M"/>
    <x v="4"/>
    <x v="0"/>
    <x v="0"/>
    <x v="8"/>
    <x v="7"/>
    <x v="2"/>
    <x v="1"/>
  </r>
  <r>
    <s v="TX500340"/>
    <x v="12"/>
    <x v="13"/>
    <n v="84.7"/>
    <x v="322"/>
    <x v="14"/>
    <d v="2025-01-15T00:00:00"/>
    <s v="F"/>
    <x v="2"/>
    <x v="0"/>
    <x v="0"/>
    <x v="8"/>
    <x v="7"/>
    <x v="2"/>
    <x v="2"/>
  </r>
  <r>
    <s v="TX500341"/>
    <x v="8"/>
    <x v="0"/>
    <n v="20.7"/>
    <x v="323"/>
    <x v="14"/>
    <d v="2025-01-17T00:00:00"/>
    <s v="F"/>
    <x v="3"/>
    <x v="2"/>
    <x v="0"/>
    <x v="8"/>
    <x v="1"/>
    <x v="2"/>
    <x v="2"/>
  </r>
  <r>
    <s v="TX500342"/>
    <x v="12"/>
    <x v="11"/>
    <n v="57.8"/>
    <x v="324"/>
    <x v="14"/>
    <d v="2025-01-26T00:00:00"/>
    <s v="M"/>
    <x v="0"/>
    <x v="4"/>
    <x v="0"/>
    <x v="17"/>
    <x v="11"/>
    <x v="2"/>
    <x v="1"/>
  </r>
  <r>
    <s v="TX500343"/>
    <x v="2"/>
    <x v="1"/>
    <n v="106.9"/>
    <x v="325"/>
    <x v="14"/>
    <d v="2025-01-17T00:00:00"/>
    <s v="F"/>
    <x v="0"/>
    <x v="2"/>
    <x v="0"/>
    <x v="41"/>
    <x v="1"/>
    <x v="2"/>
    <x v="2"/>
  </r>
  <r>
    <s v="TX500344"/>
    <x v="3"/>
    <x v="9"/>
    <n v="45.2"/>
    <x v="326"/>
    <x v="14"/>
    <d v="2025-01-19T00:00:00"/>
    <s v="F"/>
    <x v="1"/>
    <x v="0"/>
    <x v="0"/>
    <x v="21"/>
    <x v="5"/>
    <x v="2"/>
    <x v="2"/>
  </r>
  <r>
    <s v="TX500345"/>
    <x v="8"/>
    <x v="15"/>
    <n v="34.6"/>
    <x v="327"/>
    <x v="14"/>
    <d v="2025-01-15T00:00:00"/>
    <s v="F"/>
    <x v="1"/>
    <x v="1"/>
    <x v="0"/>
    <x v="21"/>
    <x v="7"/>
    <x v="2"/>
    <x v="2"/>
  </r>
  <r>
    <s v="TX500346"/>
    <x v="15"/>
    <x v="0"/>
    <n v="43.8"/>
    <x v="328"/>
    <x v="14"/>
    <d v="2025-01-17T00:00:00"/>
    <s v=""/>
    <x v="0"/>
    <x v="2"/>
    <x v="0"/>
    <x v="21"/>
    <x v="1"/>
    <x v="2"/>
    <x v="0"/>
  </r>
  <r>
    <s v="TX500347"/>
    <x v="15"/>
    <x v="0"/>
    <n v="20.399999999999999"/>
    <x v="190"/>
    <x v="14"/>
    <d v="2025-01-17T00:00:00"/>
    <s v="M"/>
    <x v="4"/>
    <x v="1"/>
    <x v="0"/>
    <x v="21"/>
    <x v="1"/>
    <x v="2"/>
    <x v="1"/>
  </r>
  <r>
    <s v="TX500348"/>
    <x v="1"/>
    <x v="0"/>
    <n v="36.700000000000003"/>
    <x v="329"/>
    <x v="14"/>
    <d v="2025-01-16T00:00:00"/>
    <s v="M"/>
    <x v="0"/>
    <x v="1"/>
    <x v="0"/>
    <x v="1"/>
    <x v="3"/>
    <x v="2"/>
    <x v="1"/>
  </r>
  <r>
    <s v="TX500349"/>
    <x v="8"/>
    <x v="2"/>
    <n v="27.2"/>
    <x v="330"/>
    <x v="14"/>
    <d v="2025-01-19T00:00:00"/>
    <s v="M"/>
    <x v="0"/>
    <x v="2"/>
    <x v="0"/>
    <x v="1"/>
    <x v="5"/>
    <x v="2"/>
    <x v="1"/>
  </r>
  <r>
    <s v="TX500350"/>
    <x v="6"/>
    <x v="0"/>
    <n v="58.2"/>
    <x v="331"/>
    <x v="14"/>
    <d v="2025-01-16T00:00:00"/>
    <s v="F"/>
    <x v="0"/>
    <x v="2"/>
    <x v="0"/>
    <x v="42"/>
    <x v="3"/>
    <x v="2"/>
    <x v="2"/>
  </r>
  <r>
    <s v="TX500351"/>
    <x v="8"/>
    <x v="2"/>
    <n v="25.6"/>
    <x v="332"/>
    <x v="14"/>
    <d v="2025-01-16T00:00:00"/>
    <s v="M"/>
    <x v="4"/>
    <x v="4"/>
    <x v="0"/>
    <x v="2"/>
    <x v="3"/>
    <x v="2"/>
    <x v="1"/>
  </r>
  <r>
    <s v="TX500352"/>
    <x v="10"/>
    <x v="0"/>
    <n v="21.2"/>
    <x v="333"/>
    <x v="14"/>
    <d v="2025-01-15T00:00:00"/>
    <s v="F"/>
    <x v="1"/>
    <x v="2"/>
    <x v="0"/>
    <x v="3"/>
    <x v="7"/>
    <x v="2"/>
    <x v="2"/>
  </r>
  <r>
    <s v="TX500353"/>
    <x v="6"/>
    <x v="1"/>
    <n v="48.2"/>
    <x v="334"/>
    <x v="14"/>
    <d v="2025-01-23T00:00:00"/>
    <s v="F"/>
    <x v="0"/>
    <x v="2"/>
    <x v="0"/>
    <x v="3"/>
    <x v="9"/>
    <x v="2"/>
    <x v="2"/>
  </r>
  <r>
    <s v="TX500354"/>
    <x v="1"/>
    <x v="12"/>
    <n v="83.4"/>
    <x v="335"/>
    <x v="15"/>
    <d v="2025-01-17T00:00:00"/>
    <s v="M"/>
    <x v="0"/>
    <x v="0"/>
    <x v="0"/>
    <x v="3"/>
    <x v="3"/>
    <x v="2"/>
    <x v="1"/>
  </r>
  <r>
    <s v="TX500355"/>
    <x v="9"/>
    <x v="2"/>
    <n v="45.3"/>
    <x v="336"/>
    <x v="15"/>
    <d v="2025-01-22T00:00:00"/>
    <s v="M"/>
    <x v="2"/>
    <x v="1"/>
    <x v="0"/>
    <x v="3"/>
    <x v="4"/>
    <x v="2"/>
    <x v="1"/>
  </r>
  <r>
    <s v="TX500356"/>
    <x v="17"/>
    <x v="0"/>
    <n v="42"/>
    <x v="337"/>
    <x v="15"/>
    <d v="2025-01-17T00:00:00"/>
    <s v=""/>
    <x v="0"/>
    <x v="0"/>
    <x v="0"/>
    <x v="3"/>
    <x v="3"/>
    <x v="2"/>
    <x v="0"/>
  </r>
  <r>
    <s v="TX500357"/>
    <x v="0"/>
    <x v="11"/>
    <n v="21.8"/>
    <x v="338"/>
    <x v="15"/>
    <d v="2025-01-18T00:00:00"/>
    <s v="F"/>
    <x v="1"/>
    <x v="0"/>
    <x v="0"/>
    <x v="3"/>
    <x v="1"/>
    <x v="2"/>
    <x v="2"/>
  </r>
  <r>
    <s v="TX500358"/>
    <x v="8"/>
    <x v="16"/>
    <n v="21.4"/>
    <x v="339"/>
    <x v="15"/>
    <d v="2025-01-19T00:00:00"/>
    <s v="F"/>
    <x v="1"/>
    <x v="2"/>
    <x v="0"/>
    <x v="3"/>
    <x v="2"/>
    <x v="2"/>
    <x v="2"/>
  </r>
  <r>
    <s v="TX500359"/>
    <x v="10"/>
    <x v="2"/>
    <n v="45"/>
    <x v="340"/>
    <x v="15"/>
    <d v="2025-01-16T00:00:00"/>
    <s v="F"/>
    <x v="1"/>
    <x v="2"/>
    <x v="0"/>
    <x v="3"/>
    <x v="7"/>
    <x v="2"/>
    <x v="2"/>
  </r>
  <r>
    <s v="TX500360"/>
    <x v="14"/>
    <x v="0"/>
    <n v="39.6"/>
    <x v="341"/>
    <x v="15"/>
    <d v="2025-01-17T00:00:00"/>
    <s v="M"/>
    <x v="0"/>
    <x v="2"/>
    <x v="0"/>
    <x v="3"/>
    <x v="3"/>
    <x v="2"/>
    <x v="1"/>
  </r>
  <r>
    <s v="TX500361"/>
    <x v="12"/>
    <x v="2"/>
    <n v="79.8"/>
    <x v="342"/>
    <x v="15"/>
    <d v="2025-01-22T00:00:00"/>
    <s v="F"/>
    <x v="1"/>
    <x v="4"/>
    <x v="0"/>
    <x v="3"/>
    <x v="4"/>
    <x v="2"/>
    <x v="2"/>
  </r>
  <r>
    <s v="TX500362"/>
    <x v="1"/>
    <x v="12"/>
    <n v="63.6"/>
    <x v="343"/>
    <x v="15"/>
    <d v="2025-01-17T00:00:00"/>
    <s v="O"/>
    <x v="0"/>
    <x v="2"/>
    <x v="0"/>
    <x v="24"/>
    <x v="3"/>
    <x v="2"/>
    <x v="3"/>
  </r>
  <r>
    <s v="TX500363"/>
    <x v="7"/>
    <x v="7"/>
    <n v="92.7"/>
    <x v="344"/>
    <x v="15"/>
    <d v="2025-01-20T00:00:00"/>
    <s v="M"/>
    <x v="1"/>
    <x v="2"/>
    <x v="0"/>
    <x v="6"/>
    <x v="5"/>
    <x v="2"/>
    <x v="1"/>
  </r>
  <r>
    <s v="TX500364"/>
    <x v="1"/>
    <x v="12"/>
    <n v="48.4"/>
    <x v="345"/>
    <x v="15"/>
    <d v="2025-01-18T00:00:00"/>
    <s v="F"/>
    <x v="1"/>
    <x v="2"/>
    <x v="0"/>
    <x v="6"/>
    <x v="1"/>
    <x v="2"/>
    <x v="2"/>
  </r>
  <r>
    <s v="TX500365"/>
    <x v="9"/>
    <x v="8"/>
    <n v="36"/>
    <x v="346"/>
    <x v="15"/>
    <d v="2025-01-19T00:00:00"/>
    <s v="M"/>
    <x v="2"/>
    <x v="2"/>
    <x v="0"/>
    <x v="8"/>
    <x v="2"/>
    <x v="2"/>
    <x v="1"/>
  </r>
  <r>
    <s v="TX500366"/>
    <x v="8"/>
    <x v="4"/>
    <n v="27"/>
    <x v="347"/>
    <x v="15"/>
    <d v="2025-01-18T00:00:00"/>
    <s v="F"/>
    <x v="2"/>
    <x v="1"/>
    <x v="0"/>
    <x v="8"/>
    <x v="1"/>
    <x v="2"/>
    <x v="2"/>
  </r>
  <r>
    <s v="TX500367"/>
    <x v="2"/>
    <x v="8"/>
    <n v="53.9"/>
    <x v="348"/>
    <x v="15"/>
    <d v="2025-01-17T00:00:00"/>
    <s v=""/>
    <x v="0"/>
    <x v="0"/>
    <x v="0"/>
    <x v="8"/>
    <x v="3"/>
    <x v="2"/>
    <x v="0"/>
  </r>
  <r>
    <s v="TX500368"/>
    <x v="3"/>
    <x v="11"/>
    <n v="48.4"/>
    <x v="349"/>
    <x v="15"/>
    <d v="2025-01-17T00:00:00"/>
    <s v="F"/>
    <x v="1"/>
    <x v="0"/>
    <x v="0"/>
    <x v="9"/>
    <x v="3"/>
    <x v="2"/>
    <x v="2"/>
  </r>
  <r>
    <s v="TX500369"/>
    <x v="17"/>
    <x v="1"/>
    <n v="49.9"/>
    <x v="350"/>
    <x v="15"/>
    <d v="2025-01-21T00:00:00"/>
    <s v="M"/>
    <x v="4"/>
    <x v="4"/>
    <x v="0"/>
    <x v="10"/>
    <x v="0"/>
    <x v="2"/>
    <x v="1"/>
  </r>
  <r>
    <s v="TX500370"/>
    <x v="1"/>
    <x v="2"/>
    <n v="51.7"/>
    <x v="351"/>
    <x v="15"/>
    <d v="2025-01-17T00:00:00"/>
    <s v="F"/>
    <x v="0"/>
    <x v="2"/>
    <x v="0"/>
    <x v="11"/>
    <x v="3"/>
    <x v="2"/>
    <x v="2"/>
  </r>
  <r>
    <s v="TX500371"/>
    <x v="8"/>
    <x v="2"/>
    <n v="41.8"/>
    <x v="352"/>
    <x v="15"/>
    <d v="2025-01-18T00:00:00"/>
    <s v="F"/>
    <x v="2"/>
    <x v="0"/>
    <x v="0"/>
    <x v="18"/>
    <x v="1"/>
    <x v="2"/>
    <x v="2"/>
  </r>
  <r>
    <s v="TX500372"/>
    <x v="4"/>
    <x v="12"/>
    <n v="36.200000000000003"/>
    <x v="353"/>
    <x v="16"/>
    <d v="2025-01-18T00:00:00"/>
    <s v="M"/>
    <x v="2"/>
    <x v="2"/>
    <x v="0"/>
    <x v="21"/>
    <x v="3"/>
    <x v="2"/>
    <x v="1"/>
  </r>
  <r>
    <s v="TX500373"/>
    <x v="2"/>
    <x v="0"/>
    <n v="150.9"/>
    <x v="354"/>
    <x v="16"/>
    <d v="2025-01-27T00:00:00"/>
    <s v="M"/>
    <x v="0"/>
    <x v="0"/>
    <x v="0"/>
    <x v="1"/>
    <x v="14"/>
    <x v="2"/>
    <x v="1"/>
  </r>
  <r>
    <s v="TX500374"/>
    <x v="18"/>
    <x v="12"/>
    <n v="77.599999999999994"/>
    <x v="355"/>
    <x v="16"/>
    <d v="2025-01-18T00:00:00"/>
    <s v=""/>
    <x v="2"/>
    <x v="0"/>
    <x v="0"/>
    <x v="3"/>
    <x v="3"/>
    <x v="2"/>
    <x v="0"/>
  </r>
  <r>
    <s v="TX500375"/>
    <x v="13"/>
    <x v="9"/>
    <n v="65.5"/>
    <x v="356"/>
    <x v="16"/>
    <d v="2025-01-17T00:00:00"/>
    <s v="M"/>
    <x v="1"/>
    <x v="0"/>
    <x v="0"/>
    <x v="3"/>
    <x v="7"/>
    <x v="2"/>
    <x v="1"/>
  </r>
  <r>
    <s v="TX500376"/>
    <x v="6"/>
    <x v="2"/>
    <n v="90.1"/>
    <x v="357"/>
    <x v="16"/>
    <d v="2025-01-19T00:00:00"/>
    <s v="F"/>
    <x v="0"/>
    <x v="0"/>
    <x v="0"/>
    <x v="3"/>
    <x v="1"/>
    <x v="2"/>
    <x v="2"/>
  </r>
  <r>
    <s v="TX500377"/>
    <x v="1"/>
    <x v="1"/>
    <n v="108.3"/>
    <x v="358"/>
    <x v="16"/>
    <d v="2025-01-20T00:00:00"/>
    <s v="O"/>
    <x v="4"/>
    <x v="0"/>
    <x v="0"/>
    <x v="3"/>
    <x v="2"/>
    <x v="2"/>
    <x v="3"/>
  </r>
  <r>
    <s v="TX500378"/>
    <x v="5"/>
    <x v="2"/>
    <n v="59.9"/>
    <x v="359"/>
    <x v="16"/>
    <d v="2025-01-21T00:00:00"/>
    <s v="F"/>
    <x v="0"/>
    <x v="0"/>
    <x v="0"/>
    <x v="3"/>
    <x v="5"/>
    <x v="2"/>
    <x v="2"/>
  </r>
  <r>
    <s v="TX500379"/>
    <x v="2"/>
    <x v="14"/>
    <n v="139"/>
    <x v="360"/>
    <x v="16"/>
    <d v="2025-01-19T00:00:00"/>
    <s v="F"/>
    <x v="1"/>
    <x v="4"/>
    <x v="0"/>
    <x v="3"/>
    <x v="1"/>
    <x v="2"/>
    <x v="2"/>
  </r>
  <r>
    <s v="TX500380"/>
    <x v="6"/>
    <x v="2"/>
    <n v="87.3"/>
    <x v="361"/>
    <x v="16"/>
    <d v="2025-01-18T00:00:00"/>
    <s v="F"/>
    <x v="0"/>
    <x v="0"/>
    <x v="0"/>
    <x v="3"/>
    <x v="3"/>
    <x v="2"/>
    <x v="2"/>
  </r>
  <r>
    <s v="TX500381"/>
    <x v="11"/>
    <x v="12"/>
    <n v="42.3"/>
    <x v="362"/>
    <x v="16"/>
    <d v="2025-01-17T00:00:00"/>
    <s v="M"/>
    <x v="0"/>
    <x v="0"/>
    <x v="0"/>
    <x v="3"/>
    <x v="7"/>
    <x v="2"/>
    <x v="1"/>
  </r>
  <r>
    <s v="TX500382"/>
    <x v="14"/>
    <x v="8"/>
    <n v="103.6"/>
    <x v="363"/>
    <x v="16"/>
    <d v="2025-01-18T00:00:00"/>
    <s v="O"/>
    <x v="0"/>
    <x v="1"/>
    <x v="0"/>
    <x v="3"/>
    <x v="3"/>
    <x v="2"/>
    <x v="3"/>
  </r>
  <r>
    <s v="TX500383"/>
    <x v="6"/>
    <x v="1"/>
    <n v="90.9"/>
    <x v="364"/>
    <x v="16"/>
    <d v="2025-01-18T00:00:00"/>
    <s v="M"/>
    <x v="1"/>
    <x v="0"/>
    <x v="0"/>
    <x v="6"/>
    <x v="3"/>
    <x v="2"/>
    <x v="1"/>
  </r>
  <r>
    <s v="TX500384"/>
    <x v="9"/>
    <x v="27"/>
    <n v="100.9"/>
    <x v="365"/>
    <x v="16"/>
    <d v="2025-01-18T00:00:00"/>
    <s v="F"/>
    <x v="1"/>
    <x v="0"/>
    <x v="0"/>
    <x v="6"/>
    <x v="3"/>
    <x v="2"/>
    <x v="2"/>
  </r>
  <r>
    <s v="TX500385"/>
    <x v="4"/>
    <x v="9"/>
    <n v="36"/>
    <x v="366"/>
    <x v="16"/>
    <d v="2025-01-19T00:00:00"/>
    <s v="F"/>
    <x v="1"/>
    <x v="0"/>
    <x v="0"/>
    <x v="7"/>
    <x v="1"/>
    <x v="2"/>
    <x v="2"/>
  </r>
  <r>
    <s v="TX500386"/>
    <x v="6"/>
    <x v="13"/>
    <n v="83.3"/>
    <x v="367"/>
    <x v="16"/>
    <d v="2025-01-20T00:00:00"/>
    <s v=""/>
    <x v="2"/>
    <x v="0"/>
    <x v="0"/>
    <x v="7"/>
    <x v="2"/>
    <x v="2"/>
    <x v="0"/>
  </r>
  <r>
    <s v="TX500387"/>
    <x v="2"/>
    <x v="14"/>
    <n v="60.3"/>
    <x v="368"/>
    <x v="16"/>
    <d v="2025-01-18T00:00:00"/>
    <s v="M"/>
    <x v="2"/>
    <x v="1"/>
    <x v="0"/>
    <x v="7"/>
    <x v="3"/>
    <x v="2"/>
    <x v="1"/>
  </r>
  <r>
    <s v="TX500388"/>
    <x v="2"/>
    <x v="13"/>
    <n v="120.3"/>
    <x v="369"/>
    <x v="16"/>
    <d v="2025-01-18T00:00:00"/>
    <s v="M"/>
    <x v="2"/>
    <x v="0"/>
    <x v="0"/>
    <x v="8"/>
    <x v="3"/>
    <x v="2"/>
    <x v="1"/>
  </r>
  <r>
    <s v="TX500389"/>
    <x v="4"/>
    <x v="7"/>
    <n v="34"/>
    <x v="370"/>
    <x v="16"/>
    <d v="2025-01-21T00:00:00"/>
    <s v="F"/>
    <x v="2"/>
    <x v="0"/>
    <x v="0"/>
    <x v="8"/>
    <x v="5"/>
    <x v="2"/>
    <x v="2"/>
  </r>
  <r>
    <s v="TX500390"/>
    <x v="10"/>
    <x v="9"/>
    <n v="42.6"/>
    <x v="226"/>
    <x v="16"/>
    <d v="2025-01-20T00:00:00"/>
    <s v="M"/>
    <x v="1"/>
    <x v="0"/>
    <x v="0"/>
    <x v="8"/>
    <x v="2"/>
    <x v="2"/>
    <x v="1"/>
  </r>
  <r>
    <s v="TX500391"/>
    <x v="5"/>
    <x v="28"/>
    <n v="47.4"/>
    <x v="371"/>
    <x v="16"/>
    <d v="2025-01-17T00:00:00"/>
    <s v="F"/>
    <x v="2"/>
    <x v="1"/>
    <x v="0"/>
    <x v="17"/>
    <x v="7"/>
    <x v="2"/>
    <x v="2"/>
  </r>
  <r>
    <s v="TX500392"/>
    <x v="2"/>
    <x v="0"/>
    <n v="74"/>
    <x v="372"/>
    <x v="17"/>
    <d v="2025-01-19T00:00:00"/>
    <s v="M"/>
    <x v="1"/>
    <x v="0"/>
    <x v="0"/>
    <x v="11"/>
    <x v="3"/>
    <x v="2"/>
    <x v="1"/>
  </r>
  <r>
    <s v="TX500393"/>
    <x v="2"/>
    <x v="9"/>
    <n v="60.4"/>
    <x v="373"/>
    <x v="17"/>
    <d v="2025-01-21T00:00:00"/>
    <s v="F"/>
    <x v="1"/>
    <x v="4"/>
    <x v="0"/>
    <x v="18"/>
    <x v="2"/>
    <x v="2"/>
    <x v="2"/>
  </r>
  <r>
    <s v="TX500394"/>
    <x v="12"/>
    <x v="1"/>
    <n v="69.3"/>
    <x v="374"/>
    <x v="17"/>
    <d v="2025-01-21T00:00:00"/>
    <s v="M"/>
    <x v="1"/>
    <x v="1"/>
    <x v="0"/>
    <x v="13"/>
    <x v="2"/>
    <x v="2"/>
    <x v="1"/>
  </r>
  <r>
    <s v="TX500395"/>
    <x v="5"/>
    <x v="9"/>
    <n v="81"/>
    <x v="375"/>
    <x v="17"/>
    <d v="2025-01-24T00:00:00"/>
    <s v="M"/>
    <x v="3"/>
    <x v="0"/>
    <x v="0"/>
    <x v="21"/>
    <x v="4"/>
    <x v="2"/>
    <x v="1"/>
  </r>
  <r>
    <s v="TX500396"/>
    <x v="15"/>
    <x v="2"/>
    <n v="41.5"/>
    <x v="376"/>
    <x v="17"/>
    <d v="2025-01-20T00:00:00"/>
    <s v="O"/>
    <x v="1"/>
    <x v="0"/>
    <x v="0"/>
    <x v="21"/>
    <x v="1"/>
    <x v="2"/>
    <x v="3"/>
  </r>
  <r>
    <s v="TX500397"/>
    <x v="18"/>
    <x v="1"/>
    <n v="69.7"/>
    <x v="377"/>
    <x v="17"/>
    <d v="2025-01-23T00:00:00"/>
    <s v="M"/>
    <x v="1"/>
    <x v="0"/>
    <x v="0"/>
    <x v="21"/>
    <x v="0"/>
    <x v="2"/>
    <x v="1"/>
  </r>
  <r>
    <s v="TX500398"/>
    <x v="2"/>
    <x v="9"/>
    <n v="83.6"/>
    <x v="378"/>
    <x v="17"/>
    <d v="2025-01-18T00:00:00"/>
    <s v="F"/>
    <x v="4"/>
    <x v="0"/>
    <x v="0"/>
    <x v="1"/>
    <x v="7"/>
    <x v="2"/>
    <x v="2"/>
  </r>
  <r>
    <s v="TX500399"/>
    <x v="8"/>
    <x v="3"/>
    <n v="21.5"/>
    <x v="379"/>
    <x v="17"/>
    <d v="2025-01-20T00:00:00"/>
    <s v="M"/>
    <x v="1"/>
    <x v="4"/>
    <x v="0"/>
    <x v="34"/>
    <x v="1"/>
    <x v="2"/>
    <x v="1"/>
  </r>
  <r>
    <s v="TX500400"/>
    <x v="8"/>
    <x v="8"/>
    <n v="28.6"/>
    <x v="27"/>
    <x v="17"/>
    <d v="2025-01-19T00:00:00"/>
    <s v="M"/>
    <x v="0"/>
    <x v="0"/>
    <x v="0"/>
    <x v="3"/>
    <x v="3"/>
    <x v="2"/>
    <x v="1"/>
  </r>
  <r>
    <s v="TX500401"/>
    <x v="8"/>
    <x v="13"/>
    <n v="18.8"/>
    <x v="380"/>
    <x v="17"/>
    <d v="2025-01-21T00:00:00"/>
    <s v="M"/>
    <x v="3"/>
    <x v="2"/>
    <x v="0"/>
    <x v="3"/>
    <x v="2"/>
    <x v="2"/>
    <x v="1"/>
  </r>
  <r>
    <s v="TX500402"/>
    <x v="10"/>
    <x v="12"/>
    <n v="35.1"/>
    <x v="381"/>
    <x v="17"/>
    <d v="2025-01-18T00:00:00"/>
    <s v="F"/>
    <x v="1"/>
    <x v="1"/>
    <x v="0"/>
    <x v="3"/>
    <x v="7"/>
    <x v="2"/>
    <x v="2"/>
  </r>
  <r>
    <s v="TX500403"/>
    <x v="0"/>
    <x v="1"/>
    <n v="12.7"/>
    <x v="382"/>
    <x v="17"/>
    <d v="2025-01-20T00:00:00"/>
    <s v="F"/>
    <x v="1"/>
    <x v="2"/>
    <x v="0"/>
    <x v="3"/>
    <x v="1"/>
    <x v="2"/>
    <x v="2"/>
  </r>
  <r>
    <s v="TX500404"/>
    <x v="8"/>
    <x v="9"/>
    <n v="27.4"/>
    <x v="383"/>
    <x v="17"/>
    <d v="2025-01-20T00:00:00"/>
    <s v="O"/>
    <x v="0"/>
    <x v="0"/>
    <x v="0"/>
    <x v="3"/>
    <x v="1"/>
    <x v="2"/>
    <x v="3"/>
  </r>
  <r>
    <s v="TX500405"/>
    <x v="10"/>
    <x v="1"/>
    <n v="61.3"/>
    <x v="384"/>
    <x v="17"/>
    <d v="2025-01-19T00:00:00"/>
    <s v="F"/>
    <x v="1"/>
    <x v="0"/>
    <x v="0"/>
    <x v="6"/>
    <x v="3"/>
    <x v="2"/>
    <x v="2"/>
  </r>
  <r>
    <s v="TX500406"/>
    <x v="8"/>
    <x v="1"/>
    <n v="64.7"/>
    <x v="385"/>
    <x v="17"/>
    <d v="2025-01-20T00:00:00"/>
    <s v="F"/>
    <x v="3"/>
    <x v="2"/>
    <x v="0"/>
    <x v="6"/>
    <x v="1"/>
    <x v="2"/>
    <x v="2"/>
  </r>
  <r>
    <s v="TX500407"/>
    <x v="7"/>
    <x v="12"/>
    <n v="91.4"/>
    <x v="386"/>
    <x v="17"/>
    <d v="2025-01-20T00:00:00"/>
    <s v="F"/>
    <x v="0"/>
    <x v="0"/>
    <x v="0"/>
    <x v="8"/>
    <x v="1"/>
    <x v="2"/>
    <x v="2"/>
  </r>
  <r>
    <s v="TX500408"/>
    <x v="0"/>
    <x v="1"/>
    <n v="33.1"/>
    <x v="387"/>
    <x v="18"/>
    <d v="2025-01-20T00:00:00"/>
    <s v="M"/>
    <x v="0"/>
    <x v="2"/>
    <x v="0"/>
    <x v="8"/>
    <x v="3"/>
    <x v="3"/>
    <x v="1"/>
  </r>
  <r>
    <s v="TX500409"/>
    <x v="3"/>
    <x v="1"/>
    <n v="105.6"/>
    <x v="23"/>
    <x v="18"/>
    <d v="2025-01-20T00:00:00"/>
    <s v="M"/>
    <x v="2"/>
    <x v="1"/>
    <x v="0"/>
    <x v="8"/>
    <x v="3"/>
    <x v="3"/>
    <x v="1"/>
  </r>
  <r>
    <s v="TX500410"/>
    <x v="10"/>
    <x v="2"/>
    <n v="46.4"/>
    <x v="388"/>
    <x v="18"/>
    <d v="2025-01-20T00:00:00"/>
    <s v="M"/>
    <x v="2"/>
    <x v="0"/>
    <x v="0"/>
    <x v="9"/>
    <x v="3"/>
    <x v="3"/>
    <x v="1"/>
  </r>
  <r>
    <s v="TX500411"/>
    <x v="9"/>
    <x v="21"/>
    <n v="35.299999999999997"/>
    <x v="389"/>
    <x v="18"/>
    <d v="2025-01-22T00:00:00"/>
    <s v="F"/>
    <x v="4"/>
    <x v="1"/>
    <x v="0"/>
    <x v="11"/>
    <x v="2"/>
    <x v="3"/>
    <x v="2"/>
  </r>
  <r>
    <s v="TX500412"/>
    <x v="0"/>
    <x v="1"/>
    <n v="16.100000000000001"/>
    <x v="390"/>
    <x v="18"/>
    <d v="2025-01-21T00:00:00"/>
    <s v="M"/>
    <x v="3"/>
    <x v="2"/>
    <x v="0"/>
    <x v="32"/>
    <x v="1"/>
    <x v="3"/>
    <x v="1"/>
  </r>
  <r>
    <s v="TX500413"/>
    <x v="4"/>
    <x v="1"/>
    <n v="27.9"/>
    <x v="391"/>
    <x v="18"/>
    <d v="2025-01-22T00:00:00"/>
    <s v="M"/>
    <x v="0"/>
    <x v="0"/>
    <x v="0"/>
    <x v="13"/>
    <x v="2"/>
    <x v="3"/>
    <x v="1"/>
  </r>
  <r>
    <s v="TX500414"/>
    <x v="8"/>
    <x v="0"/>
    <n v="47.1"/>
    <x v="392"/>
    <x v="18"/>
    <d v="2025-01-27T00:00:00"/>
    <s v="F"/>
    <x v="1"/>
    <x v="0"/>
    <x v="0"/>
    <x v="2"/>
    <x v="9"/>
    <x v="3"/>
    <x v="2"/>
  </r>
  <r>
    <s v="TX500415"/>
    <x v="6"/>
    <x v="1"/>
    <n v="85"/>
    <x v="393"/>
    <x v="18"/>
    <d v="2025-01-22T00:00:00"/>
    <s v=""/>
    <x v="2"/>
    <x v="2"/>
    <x v="0"/>
    <x v="22"/>
    <x v="2"/>
    <x v="3"/>
    <x v="0"/>
  </r>
  <r>
    <s v="TX500416"/>
    <x v="18"/>
    <x v="1"/>
    <n v="89"/>
    <x v="394"/>
    <x v="18"/>
    <d v="2025-01-21T00:00:00"/>
    <s v="F"/>
    <x v="0"/>
    <x v="0"/>
    <x v="0"/>
    <x v="3"/>
    <x v="1"/>
    <x v="3"/>
    <x v="2"/>
  </r>
  <r>
    <s v="TX500417"/>
    <x v="16"/>
    <x v="2"/>
    <n v="36.6"/>
    <x v="17"/>
    <x v="18"/>
    <d v="2025-01-20T00:00:00"/>
    <s v="O"/>
    <x v="3"/>
    <x v="2"/>
    <x v="0"/>
    <x v="3"/>
    <x v="3"/>
    <x v="3"/>
    <x v="3"/>
  </r>
  <r>
    <s v="TX500418"/>
    <x v="6"/>
    <x v="3"/>
    <n v="43.5"/>
    <x v="395"/>
    <x v="18"/>
    <d v="2025-01-20T00:00:00"/>
    <s v="M"/>
    <x v="1"/>
    <x v="2"/>
    <x v="0"/>
    <x v="3"/>
    <x v="3"/>
    <x v="3"/>
    <x v="1"/>
  </r>
  <r>
    <s v="TX500419"/>
    <x v="9"/>
    <x v="10"/>
    <n v="30.5"/>
    <x v="396"/>
    <x v="18"/>
    <d v="2025-01-19T00:00:00"/>
    <s v="F"/>
    <x v="3"/>
    <x v="0"/>
    <x v="0"/>
    <x v="3"/>
    <x v="7"/>
    <x v="3"/>
    <x v="2"/>
  </r>
  <r>
    <s v="TX500420"/>
    <x v="1"/>
    <x v="1"/>
    <n v="107.7"/>
    <x v="397"/>
    <x v="18"/>
    <d v="2025-01-23T00:00:00"/>
    <s v="M"/>
    <x v="3"/>
    <x v="4"/>
    <x v="0"/>
    <x v="3"/>
    <x v="5"/>
    <x v="3"/>
    <x v="1"/>
  </r>
  <r>
    <s v="TX500421"/>
    <x v="17"/>
    <x v="18"/>
    <n v="57.1"/>
    <x v="398"/>
    <x v="18"/>
    <d v="2025-01-20T00:00:00"/>
    <s v="M"/>
    <x v="1"/>
    <x v="0"/>
    <x v="0"/>
    <x v="3"/>
    <x v="3"/>
    <x v="3"/>
    <x v="1"/>
  </r>
  <r>
    <s v="TX500422"/>
    <x v="2"/>
    <x v="7"/>
    <n v="111.7"/>
    <x v="399"/>
    <x v="18"/>
    <d v="2025-01-20T00:00:00"/>
    <s v="F"/>
    <x v="4"/>
    <x v="2"/>
    <x v="0"/>
    <x v="3"/>
    <x v="3"/>
    <x v="3"/>
    <x v="2"/>
  </r>
  <r>
    <s v="TX500423"/>
    <x v="18"/>
    <x v="3"/>
    <n v="44.3"/>
    <x v="400"/>
    <x v="18"/>
    <d v="2025-01-22T00:00:00"/>
    <s v="M"/>
    <x v="3"/>
    <x v="2"/>
    <x v="0"/>
    <x v="3"/>
    <x v="2"/>
    <x v="3"/>
    <x v="1"/>
  </r>
  <r>
    <s v="TX500424"/>
    <x v="2"/>
    <x v="8"/>
    <n v="95.8"/>
    <x v="401"/>
    <x v="18"/>
    <d v="2025-01-25T00:00:00"/>
    <s v="O"/>
    <x v="0"/>
    <x v="0"/>
    <x v="0"/>
    <x v="3"/>
    <x v="4"/>
    <x v="3"/>
    <x v="3"/>
  </r>
  <r>
    <s v="TX500425"/>
    <x v="10"/>
    <x v="3"/>
    <n v="22.6"/>
    <x v="402"/>
    <x v="18"/>
    <d v="2025-01-22T00:00:00"/>
    <s v="F"/>
    <x v="3"/>
    <x v="1"/>
    <x v="0"/>
    <x v="3"/>
    <x v="2"/>
    <x v="3"/>
    <x v="2"/>
  </r>
  <r>
    <s v="TX500426"/>
    <x v="8"/>
    <x v="8"/>
    <n v="25.6"/>
    <x v="403"/>
    <x v="18"/>
    <d v="2025-01-21T00:00:00"/>
    <s v="F"/>
    <x v="4"/>
    <x v="0"/>
    <x v="0"/>
    <x v="3"/>
    <x v="1"/>
    <x v="3"/>
    <x v="2"/>
  </r>
  <r>
    <s v="TX500427"/>
    <x v="6"/>
    <x v="27"/>
    <n v="54.3"/>
    <x v="404"/>
    <x v="18"/>
    <d v="2025-01-22T00:00:00"/>
    <s v="F"/>
    <x v="4"/>
    <x v="0"/>
    <x v="0"/>
    <x v="3"/>
    <x v="2"/>
    <x v="3"/>
    <x v="2"/>
  </r>
  <r>
    <s v="TX500428"/>
    <x v="18"/>
    <x v="15"/>
    <n v="51.3"/>
    <x v="405"/>
    <x v="18"/>
    <d v="2025-01-21T00:00:00"/>
    <s v="M"/>
    <x v="0"/>
    <x v="2"/>
    <x v="0"/>
    <x v="3"/>
    <x v="1"/>
    <x v="3"/>
    <x v="1"/>
  </r>
  <r>
    <s v="TX500429"/>
    <x v="0"/>
    <x v="8"/>
    <n v="25.6"/>
    <x v="403"/>
    <x v="18"/>
    <d v="2025-01-20T00:00:00"/>
    <s v="F"/>
    <x v="1"/>
    <x v="1"/>
    <x v="0"/>
    <x v="3"/>
    <x v="3"/>
    <x v="3"/>
    <x v="2"/>
  </r>
  <r>
    <s v="TX500430"/>
    <x v="0"/>
    <x v="1"/>
    <n v="15.6"/>
    <x v="406"/>
    <x v="18"/>
    <d v="2025-01-20T00:00:00"/>
    <s v="F"/>
    <x v="2"/>
    <x v="2"/>
    <x v="0"/>
    <x v="3"/>
    <x v="3"/>
    <x v="3"/>
    <x v="2"/>
  </r>
  <r>
    <s v="TX500431"/>
    <x v="8"/>
    <x v="2"/>
    <n v="30.3"/>
    <x v="407"/>
    <x v="18"/>
    <d v="2025-01-23T00:00:00"/>
    <s v="F"/>
    <x v="0"/>
    <x v="1"/>
    <x v="0"/>
    <x v="3"/>
    <x v="5"/>
    <x v="3"/>
    <x v="2"/>
  </r>
  <r>
    <s v="TX500432"/>
    <x v="12"/>
    <x v="1"/>
    <n v="30.3"/>
    <x v="408"/>
    <x v="18"/>
    <d v="2025-01-24T00:00:00"/>
    <s v="F"/>
    <x v="0"/>
    <x v="2"/>
    <x v="0"/>
    <x v="37"/>
    <x v="0"/>
    <x v="3"/>
    <x v="2"/>
  </r>
  <r>
    <s v="TX500433"/>
    <x v="10"/>
    <x v="2"/>
    <n v="53"/>
    <x v="409"/>
    <x v="18"/>
    <d v="2025-01-26T00:00:00"/>
    <s v="F"/>
    <x v="2"/>
    <x v="0"/>
    <x v="0"/>
    <x v="24"/>
    <x v="6"/>
    <x v="3"/>
    <x v="2"/>
  </r>
  <r>
    <s v="TX500434"/>
    <x v="5"/>
    <x v="16"/>
    <n v="59.9"/>
    <x v="410"/>
    <x v="18"/>
    <d v="2025-01-22T00:00:00"/>
    <s v="M"/>
    <x v="2"/>
    <x v="4"/>
    <x v="0"/>
    <x v="25"/>
    <x v="2"/>
    <x v="3"/>
    <x v="1"/>
  </r>
  <r>
    <s v="TX500435"/>
    <x v="9"/>
    <x v="1"/>
    <n v="45.7"/>
    <x v="411"/>
    <x v="18"/>
    <d v="2025-01-20T00:00:00"/>
    <s v="F"/>
    <x v="1"/>
    <x v="2"/>
    <x v="0"/>
    <x v="6"/>
    <x v="3"/>
    <x v="3"/>
    <x v="2"/>
  </r>
  <r>
    <s v="TX500436"/>
    <x v="8"/>
    <x v="12"/>
    <n v="46.1"/>
    <x v="412"/>
    <x v="18"/>
    <d v="2025-01-20T00:00:00"/>
    <s v="M"/>
    <x v="0"/>
    <x v="0"/>
    <x v="0"/>
    <x v="6"/>
    <x v="3"/>
    <x v="3"/>
    <x v="1"/>
  </r>
  <r>
    <s v="TX500437"/>
    <x v="8"/>
    <x v="2"/>
    <n v="17.5"/>
    <x v="413"/>
    <x v="18"/>
    <d v="2025-01-20T00:00:00"/>
    <s v="F"/>
    <x v="0"/>
    <x v="2"/>
    <x v="0"/>
    <x v="8"/>
    <x v="3"/>
    <x v="3"/>
    <x v="2"/>
  </r>
  <r>
    <s v="TX500438"/>
    <x v="10"/>
    <x v="2"/>
    <n v="36.5"/>
    <x v="414"/>
    <x v="18"/>
    <d v="2025-01-30T00:00:00"/>
    <s v="M"/>
    <x v="2"/>
    <x v="0"/>
    <x v="0"/>
    <x v="8"/>
    <x v="11"/>
    <x v="3"/>
    <x v="1"/>
  </r>
  <r>
    <s v="TX500439"/>
    <x v="8"/>
    <x v="1"/>
    <n v="47.5"/>
    <x v="415"/>
    <x v="19"/>
    <d v="2025-01-22T00:00:00"/>
    <s v="F"/>
    <x v="1"/>
    <x v="0"/>
    <x v="0"/>
    <x v="8"/>
    <x v="1"/>
    <x v="3"/>
    <x v="2"/>
  </r>
  <r>
    <s v="TX500440"/>
    <x v="6"/>
    <x v="9"/>
    <n v="45.6"/>
    <x v="416"/>
    <x v="19"/>
    <d v="2025-01-22T00:00:00"/>
    <s v="F"/>
    <x v="0"/>
    <x v="2"/>
    <x v="0"/>
    <x v="8"/>
    <x v="1"/>
    <x v="3"/>
    <x v="2"/>
  </r>
  <r>
    <s v="TX500441"/>
    <x v="9"/>
    <x v="1"/>
    <n v="50.5"/>
    <x v="95"/>
    <x v="19"/>
    <d v="2025-01-22T00:00:00"/>
    <s v="M"/>
    <x v="0"/>
    <x v="1"/>
    <x v="0"/>
    <x v="17"/>
    <x v="1"/>
    <x v="3"/>
    <x v="1"/>
  </r>
  <r>
    <s v="TX500442"/>
    <x v="2"/>
    <x v="7"/>
    <n v="99.8"/>
    <x v="417"/>
    <x v="19"/>
    <d v="2025-01-23T00:00:00"/>
    <s v="F"/>
    <x v="2"/>
    <x v="1"/>
    <x v="0"/>
    <x v="17"/>
    <x v="2"/>
    <x v="3"/>
    <x v="2"/>
  </r>
  <r>
    <s v="TX500443"/>
    <x v="8"/>
    <x v="20"/>
    <n v="19.2"/>
    <x v="346"/>
    <x v="19"/>
    <d v="2025-01-22T00:00:00"/>
    <s v="O"/>
    <x v="4"/>
    <x v="1"/>
    <x v="0"/>
    <x v="26"/>
    <x v="1"/>
    <x v="3"/>
    <x v="3"/>
  </r>
  <r>
    <s v="TX500444"/>
    <x v="17"/>
    <x v="2"/>
    <n v="22.6"/>
    <x v="418"/>
    <x v="19"/>
    <d v="2025-01-21T00:00:00"/>
    <s v="M"/>
    <x v="1"/>
    <x v="0"/>
    <x v="0"/>
    <x v="11"/>
    <x v="3"/>
    <x v="3"/>
    <x v="1"/>
  </r>
  <r>
    <s v="TX500445"/>
    <x v="1"/>
    <x v="20"/>
    <n v="126.9"/>
    <x v="419"/>
    <x v="19"/>
    <d v="2025-01-22T00:00:00"/>
    <s v="F"/>
    <x v="0"/>
    <x v="2"/>
    <x v="0"/>
    <x v="11"/>
    <x v="1"/>
    <x v="3"/>
    <x v="2"/>
  </r>
  <r>
    <s v="TX500446"/>
    <x v="2"/>
    <x v="1"/>
    <n v="100.3"/>
    <x v="420"/>
    <x v="19"/>
    <d v="2025-01-21T00:00:00"/>
    <s v="F"/>
    <x v="0"/>
    <x v="1"/>
    <x v="0"/>
    <x v="11"/>
    <x v="3"/>
    <x v="3"/>
    <x v="2"/>
  </r>
  <r>
    <s v="TX500447"/>
    <x v="4"/>
    <x v="16"/>
    <n v="24.6"/>
    <x v="421"/>
    <x v="19"/>
    <d v="2025-01-21T00:00:00"/>
    <s v="F"/>
    <x v="4"/>
    <x v="0"/>
    <x v="0"/>
    <x v="13"/>
    <x v="3"/>
    <x v="3"/>
    <x v="2"/>
  </r>
  <r>
    <s v="TX500448"/>
    <x v="6"/>
    <x v="1"/>
    <n v="47.3"/>
    <x v="422"/>
    <x v="19"/>
    <d v="2025-01-21T00:00:00"/>
    <s v="M"/>
    <x v="1"/>
    <x v="2"/>
    <x v="0"/>
    <x v="13"/>
    <x v="3"/>
    <x v="3"/>
    <x v="1"/>
  </r>
  <r>
    <s v="TX500449"/>
    <x v="6"/>
    <x v="3"/>
    <n v="40.799999999999997"/>
    <x v="423"/>
    <x v="19"/>
    <d v="2025-01-23T00:00:00"/>
    <s v="F"/>
    <x v="2"/>
    <x v="2"/>
    <x v="0"/>
    <x v="21"/>
    <x v="2"/>
    <x v="3"/>
    <x v="2"/>
  </r>
  <r>
    <s v="TX500450"/>
    <x v="8"/>
    <x v="8"/>
    <n v="49.2"/>
    <x v="424"/>
    <x v="19"/>
    <d v="2025-01-22T00:00:00"/>
    <s v="F"/>
    <x v="0"/>
    <x v="0"/>
    <x v="0"/>
    <x v="1"/>
    <x v="1"/>
    <x v="3"/>
    <x v="2"/>
  </r>
  <r>
    <s v="TX500451"/>
    <x v="8"/>
    <x v="0"/>
    <n v="28.5"/>
    <x v="425"/>
    <x v="19"/>
    <d v="2025-01-22T00:00:00"/>
    <s v=""/>
    <x v="2"/>
    <x v="1"/>
    <x v="0"/>
    <x v="3"/>
    <x v="1"/>
    <x v="3"/>
    <x v="0"/>
  </r>
  <r>
    <s v="TX500452"/>
    <x v="18"/>
    <x v="1"/>
    <n v="36.799999999999997"/>
    <x v="426"/>
    <x v="19"/>
    <d v="2025-01-26T00:00:00"/>
    <s v="F"/>
    <x v="0"/>
    <x v="2"/>
    <x v="0"/>
    <x v="3"/>
    <x v="4"/>
    <x v="3"/>
    <x v="2"/>
  </r>
  <r>
    <s v="TX500453"/>
    <x v="7"/>
    <x v="2"/>
    <n v="33.5"/>
    <x v="427"/>
    <x v="19"/>
    <d v="2025-01-21T00:00:00"/>
    <s v="F"/>
    <x v="0"/>
    <x v="1"/>
    <x v="0"/>
    <x v="3"/>
    <x v="3"/>
    <x v="3"/>
    <x v="2"/>
  </r>
  <r>
    <s v="TX500454"/>
    <x v="6"/>
    <x v="13"/>
    <n v="62.5"/>
    <x v="428"/>
    <x v="19"/>
    <d v="2025-01-22T00:00:00"/>
    <s v="F"/>
    <x v="0"/>
    <x v="0"/>
    <x v="0"/>
    <x v="3"/>
    <x v="1"/>
    <x v="3"/>
    <x v="2"/>
  </r>
  <r>
    <s v="TX500455"/>
    <x v="8"/>
    <x v="29"/>
    <n v="47.9"/>
    <x v="429"/>
    <x v="19"/>
    <d v="2025-01-21T00:00:00"/>
    <s v="F"/>
    <x v="3"/>
    <x v="0"/>
    <x v="0"/>
    <x v="3"/>
    <x v="3"/>
    <x v="3"/>
    <x v="2"/>
  </r>
  <r>
    <s v="TX500456"/>
    <x v="6"/>
    <x v="13"/>
    <n v="92.9"/>
    <x v="430"/>
    <x v="19"/>
    <d v="2025-01-31T00:00:00"/>
    <s v="F"/>
    <x v="0"/>
    <x v="4"/>
    <x v="0"/>
    <x v="3"/>
    <x v="11"/>
    <x v="3"/>
    <x v="2"/>
  </r>
  <r>
    <s v="TX500457"/>
    <x v="12"/>
    <x v="2"/>
    <n v="44.1"/>
    <x v="431"/>
    <x v="19"/>
    <d v="2025-01-20T00:00:00"/>
    <s v="F"/>
    <x v="1"/>
    <x v="1"/>
    <x v="0"/>
    <x v="43"/>
    <x v="7"/>
    <x v="3"/>
    <x v="2"/>
  </r>
  <r>
    <s v="TX500458"/>
    <x v="0"/>
    <x v="0"/>
    <n v="11.4"/>
    <x v="432"/>
    <x v="20"/>
    <d v="2025-01-23T00:00:00"/>
    <s v="F"/>
    <x v="2"/>
    <x v="0"/>
    <x v="0"/>
    <x v="5"/>
    <x v="1"/>
    <x v="3"/>
    <x v="2"/>
  </r>
  <r>
    <s v="TX500459"/>
    <x v="6"/>
    <x v="0"/>
    <n v="83.7"/>
    <x v="433"/>
    <x v="20"/>
    <d v="2025-01-23T00:00:00"/>
    <s v="F"/>
    <x v="0"/>
    <x v="2"/>
    <x v="0"/>
    <x v="6"/>
    <x v="1"/>
    <x v="3"/>
    <x v="2"/>
  </r>
  <r>
    <s v="TX500460"/>
    <x v="10"/>
    <x v="1"/>
    <n v="23.2"/>
    <x v="434"/>
    <x v="20"/>
    <d v="2025-01-22T00:00:00"/>
    <s v="M"/>
    <x v="2"/>
    <x v="0"/>
    <x v="0"/>
    <x v="8"/>
    <x v="3"/>
    <x v="3"/>
    <x v="1"/>
  </r>
  <r>
    <s v="TX500461"/>
    <x v="2"/>
    <x v="0"/>
    <n v="162.1"/>
    <x v="435"/>
    <x v="20"/>
    <d v="2025-01-24T00:00:00"/>
    <s v="F"/>
    <x v="0"/>
    <x v="2"/>
    <x v="0"/>
    <x v="9"/>
    <x v="2"/>
    <x v="3"/>
    <x v="2"/>
  </r>
  <r>
    <s v="TX500462"/>
    <x v="6"/>
    <x v="12"/>
    <n v="49.2"/>
    <x v="436"/>
    <x v="20"/>
    <d v="2025-01-25T00:00:00"/>
    <s v="M"/>
    <x v="1"/>
    <x v="0"/>
    <x v="0"/>
    <x v="9"/>
    <x v="5"/>
    <x v="3"/>
    <x v="1"/>
  </r>
  <r>
    <s v="TX500463"/>
    <x v="1"/>
    <x v="1"/>
    <n v="61"/>
    <x v="164"/>
    <x v="20"/>
    <d v="2025-01-22T00:00:00"/>
    <s v="M"/>
    <x v="3"/>
    <x v="0"/>
    <x v="0"/>
    <x v="10"/>
    <x v="3"/>
    <x v="3"/>
    <x v="1"/>
  </r>
  <r>
    <s v="TX500464"/>
    <x v="2"/>
    <x v="7"/>
    <n v="53.1"/>
    <x v="437"/>
    <x v="20"/>
    <d v="2025-01-23T00:00:00"/>
    <s v="M"/>
    <x v="0"/>
    <x v="0"/>
    <x v="0"/>
    <x v="11"/>
    <x v="1"/>
    <x v="3"/>
    <x v="1"/>
  </r>
  <r>
    <s v="TX500465"/>
    <x v="4"/>
    <x v="1"/>
    <n v="22.4"/>
    <x v="438"/>
    <x v="20"/>
    <d v="2025-01-23T00:00:00"/>
    <s v=""/>
    <x v="1"/>
    <x v="2"/>
    <x v="0"/>
    <x v="13"/>
    <x v="1"/>
    <x v="3"/>
    <x v="0"/>
  </r>
  <r>
    <s v="TX500466"/>
    <x v="1"/>
    <x v="9"/>
    <n v="75.3"/>
    <x v="439"/>
    <x v="20"/>
    <d v="2025-01-22T00:00:00"/>
    <s v="M"/>
    <x v="0"/>
    <x v="0"/>
    <x v="0"/>
    <x v="21"/>
    <x v="3"/>
    <x v="3"/>
    <x v="1"/>
  </r>
  <r>
    <s v="TX500467"/>
    <x v="6"/>
    <x v="0"/>
    <n v="48.5"/>
    <x v="319"/>
    <x v="20"/>
    <d v="2025-01-22T00:00:00"/>
    <s v="F"/>
    <x v="0"/>
    <x v="1"/>
    <x v="0"/>
    <x v="21"/>
    <x v="3"/>
    <x v="3"/>
    <x v="2"/>
  </r>
  <r>
    <s v="TX500468"/>
    <x v="6"/>
    <x v="0"/>
    <n v="42.6"/>
    <x v="440"/>
    <x v="20"/>
    <d v="2025-01-25T00:00:00"/>
    <s v="F"/>
    <x v="3"/>
    <x v="0"/>
    <x v="0"/>
    <x v="1"/>
    <x v="5"/>
    <x v="3"/>
    <x v="2"/>
  </r>
  <r>
    <s v="TX500469"/>
    <x v="5"/>
    <x v="9"/>
    <n v="49"/>
    <x v="441"/>
    <x v="20"/>
    <d v="2025-01-22T00:00:00"/>
    <s v="M"/>
    <x v="0"/>
    <x v="0"/>
    <x v="0"/>
    <x v="22"/>
    <x v="3"/>
    <x v="3"/>
    <x v="1"/>
  </r>
  <r>
    <s v="TX500470"/>
    <x v="8"/>
    <x v="2"/>
    <n v="31.3"/>
    <x v="442"/>
    <x v="20"/>
    <d v="2025-01-22T00:00:00"/>
    <s v="M"/>
    <x v="2"/>
    <x v="1"/>
    <x v="0"/>
    <x v="3"/>
    <x v="3"/>
    <x v="3"/>
    <x v="1"/>
  </r>
  <r>
    <s v="TX500471"/>
    <x v="2"/>
    <x v="1"/>
    <n v="85.4"/>
    <x v="443"/>
    <x v="20"/>
    <d v="2025-01-22T00:00:00"/>
    <s v="F"/>
    <x v="2"/>
    <x v="0"/>
    <x v="0"/>
    <x v="3"/>
    <x v="3"/>
    <x v="3"/>
    <x v="2"/>
  </r>
  <r>
    <s v="TX500472"/>
    <x v="8"/>
    <x v="12"/>
    <n v="40"/>
    <x v="444"/>
    <x v="20"/>
    <d v="2025-01-22T00:00:00"/>
    <s v="O"/>
    <x v="0"/>
    <x v="2"/>
    <x v="0"/>
    <x v="3"/>
    <x v="3"/>
    <x v="3"/>
    <x v="3"/>
  </r>
  <r>
    <s v="TX500473"/>
    <x v="5"/>
    <x v="1"/>
    <n v="38.5"/>
    <x v="445"/>
    <x v="20"/>
    <d v="2025-01-24T00:00:00"/>
    <s v="M"/>
    <x v="1"/>
    <x v="2"/>
    <x v="0"/>
    <x v="3"/>
    <x v="2"/>
    <x v="3"/>
    <x v="1"/>
  </r>
  <r>
    <s v="TX500474"/>
    <x v="2"/>
    <x v="1"/>
    <n v="57.8"/>
    <x v="446"/>
    <x v="20"/>
    <d v="2025-01-22T00:00:00"/>
    <s v=""/>
    <x v="0"/>
    <x v="0"/>
    <x v="0"/>
    <x v="3"/>
    <x v="3"/>
    <x v="3"/>
    <x v="0"/>
  </r>
  <r>
    <s v="TX500475"/>
    <x v="8"/>
    <x v="0"/>
    <n v="19.2"/>
    <x v="447"/>
    <x v="20"/>
    <d v="2025-01-22T00:00:00"/>
    <s v="F"/>
    <x v="0"/>
    <x v="4"/>
    <x v="0"/>
    <x v="3"/>
    <x v="3"/>
    <x v="3"/>
    <x v="2"/>
  </r>
  <r>
    <s v="TX500476"/>
    <x v="6"/>
    <x v="13"/>
    <n v="114.8"/>
    <x v="448"/>
    <x v="20"/>
    <d v="2025-01-24T00:00:00"/>
    <s v="M"/>
    <x v="1"/>
    <x v="1"/>
    <x v="0"/>
    <x v="3"/>
    <x v="2"/>
    <x v="3"/>
    <x v="1"/>
  </r>
  <r>
    <s v="TX500477"/>
    <x v="10"/>
    <x v="3"/>
    <n v="48.4"/>
    <x v="449"/>
    <x v="20"/>
    <d v="2025-01-24T00:00:00"/>
    <s v="F"/>
    <x v="3"/>
    <x v="1"/>
    <x v="0"/>
    <x v="3"/>
    <x v="2"/>
    <x v="3"/>
    <x v="2"/>
  </r>
  <r>
    <s v="TX500478"/>
    <x v="9"/>
    <x v="9"/>
    <n v="73.2"/>
    <x v="450"/>
    <x v="20"/>
    <d v="2025-01-22T00:00:00"/>
    <s v="F"/>
    <x v="1"/>
    <x v="4"/>
    <x v="0"/>
    <x v="3"/>
    <x v="3"/>
    <x v="3"/>
    <x v="2"/>
  </r>
  <r>
    <s v="TX500479"/>
    <x v="15"/>
    <x v="1"/>
    <n v="48.6"/>
    <x v="451"/>
    <x v="20"/>
    <d v="2025-01-25T00:00:00"/>
    <s v="F"/>
    <x v="3"/>
    <x v="0"/>
    <x v="0"/>
    <x v="3"/>
    <x v="5"/>
    <x v="3"/>
    <x v="2"/>
  </r>
  <r>
    <s v="TX500480"/>
    <x v="0"/>
    <x v="13"/>
    <n v="48.7"/>
    <x v="452"/>
    <x v="20"/>
    <d v="2025-01-22T00:00:00"/>
    <s v="M"/>
    <x v="0"/>
    <x v="0"/>
    <x v="0"/>
    <x v="3"/>
    <x v="3"/>
    <x v="3"/>
    <x v="1"/>
  </r>
  <r>
    <s v="TX500481"/>
    <x v="4"/>
    <x v="1"/>
    <n v="32.200000000000003"/>
    <x v="453"/>
    <x v="20"/>
    <d v="2025-01-24T00:00:00"/>
    <s v="M"/>
    <x v="2"/>
    <x v="2"/>
    <x v="0"/>
    <x v="3"/>
    <x v="2"/>
    <x v="3"/>
    <x v="1"/>
  </r>
  <r>
    <s v="TX500482"/>
    <x v="15"/>
    <x v="8"/>
    <n v="25.8"/>
    <x v="454"/>
    <x v="20"/>
    <d v="2025-01-22T00:00:00"/>
    <s v="M"/>
    <x v="0"/>
    <x v="0"/>
    <x v="0"/>
    <x v="37"/>
    <x v="3"/>
    <x v="3"/>
    <x v="1"/>
  </r>
  <r>
    <s v="TX500483"/>
    <x v="6"/>
    <x v="1"/>
    <n v="94.8"/>
    <x v="455"/>
    <x v="21"/>
    <d v="2025-01-25T00:00:00"/>
    <s v="F"/>
    <x v="1"/>
    <x v="1"/>
    <x v="0"/>
    <x v="25"/>
    <x v="2"/>
    <x v="3"/>
    <x v="2"/>
  </r>
  <r>
    <s v="TX500484"/>
    <x v="15"/>
    <x v="30"/>
    <n v="56.8"/>
    <x v="456"/>
    <x v="21"/>
    <d v="2025-01-25T00:00:00"/>
    <s v="M"/>
    <x v="0"/>
    <x v="0"/>
    <x v="0"/>
    <x v="25"/>
    <x v="2"/>
    <x v="3"/>
    <x v="1"/>
  </r>
  <r>
    <s v="TX500485"/>
    <x v="8"/>
    <x v="27"/>
    <n v="18.3"/>
    <x v="457"/>
    <x v="21"/>
    <d v="2025-01-29T00:00:00"/>
    <s v="F"/>
    <x v="2"/>
    <x v="2"/>
    <x v="0"/>
    <x v="23"/>
    <x v="6"/>
    <x v="3"/>
    <x v="2"/>
  </r>
  <r>
    <s v="TX500486"/>
    <x v="0"/>
    <x v="2"/>
    <n v="16.8"/>
    <x v="458"/>
    <x v="21"/>
    <d v="2025-01-27T00:00:00"/>
    <s v="F"/>
    <x v="2"/>
    <x v="2"/>
    <x v="0"/>
    <x v="8"/>
    <x v="0"/>
    <x v="3"/>
    <x v="2"/>
  </r>
  <r>
    <s v="TX500487"/>
    <x v="5"/>
    <x v="5"/>
    <n v="35.799999999999997"/>
    <x v="459"/>
    <x v="21"/>
    <d v="2025-01-23T00:00:00"/>
    <s v="M"/>
    <x v="1"/>
    <x v="0"/>
    <x v="0"/>
    <x v="17"/>
    <x v="3"/>
    <x v="3"/>
    <x v="1"/>
  </r>
  <r>
    <s v="TX500488"/>
    <x v="18"/>
    <x v="0"/>
    <n v="64.900000000000006"/>
    <x v="460"/>
    <x v="21"/>
    <d v="2025-01-23T00:00:00"/>
    <s v="M"/>
    <x v="0"/>
    <x v="1"/>
    <x v="0"/>
    <x v="17"/>
    <x v="3"/>
    <x v="3"/>
    <x v="1"/>
  </r>
  <r>
    <s v="TX500489"/>
    <x v="18"/>
    <x v="0"/>
    <n v="28.5"/>
    <x v="425"/>
    <x v="21"/>
    <d v="2025-01-24T00:00:00"/>
    <s v=""/>
    <x v="1"/>
    <x v="0"/>
    <x v="0"/>
    <x v="9"/>
    <x v="1"/>
    <x v="3"/>
    <x v="0"/>
  </r>
  <r>
    <s v="TX500490"/>
    <x v="18"/>
    <x v="1"/>
    <n v="103.5"/>
    <x v="461"/>
    <x v="21"/>
    <d v="2025-01-24T00:00:00"/>
    <s v="F"/>
    <x v="1"/>
    <x v="0"/>
    <x v="0"/>
    <x v="10"/>
    <x v="1"/>
    <x v="3"/>
    <x v="2"/>
  </r>
  <r>
    <s v="TX500491"/>
    <x v="4"/>
    <x v="1"/>
    <n v="41.2"/>
    <x v="462"/>
    <x v="21"/>
    <d v="2025-01-23T00:00:00"/>
    <s v="F"/>
    <x v="1"/>
    <x v="0"/>
    <x v="0"/>
    <x v="10"/>
    <x v="3"/>
    <x v="3"/>
    <x v="2"/>
  </r>
  <r>
    <s v="TX500492"/>
    <x v="9"/>
    <x v="0"/>
    <n v="37.799999999999997"/>
    <x v="463"/>
    <x v="21"/>
    <d v="2025-01-24T00:00:00"/>
    <s v="F"/>
    <x v="3"/>
    <x v="3"/>
    <x v="0"/>
    <x v="11"/>
    <x v="1"/>
    <x v="3"/>
    <x v="2"/>
  </r>
  <r>
    <s v="TX500493"/>
    <x v="8"/>
    <x v="1"/>
    <n v="42.6"/>
    <x v="464"/>
    <x v="21"/>
    <d v="2025-01-24T00:00:00"/>
    <s v="F"/>
    <x v="4"/>
    <x v="0"/>
    <x v="0"/>
    <x v="11"/>
    <x v="1"/>
    <x v="3"/>
    <x v="2"/>
  </r>
  <r>
    <s v="TX500494"/>
    <x v="8"/>
    <x v="7"/>
    <n v="15.2"/>
    <x v="465"/>
    <x v="21"/>
    <d v="2025-01-24T00:00:00"/>
    <s v="F"/>
    <x v="2"/>
    <x v="0"/>
    <x v="0"/>
    <x v="11"/>
    <x v="1"/>
    <x v="3"/>
    <x v="2"/>
  </r>
  <r>
    <s v="TX500495"/>
    <x v="7"/>
    <x v="12"/>
    <n v="83.4"/>
    <x v="335"/>
    <x v="21"/>
    <d v="2025-01-23T00:00:00"/>
    <s v="F"/>
    <x v="2"/>
    <x v="1"/>
    <x v="0"/>
    <x v="18"/>
    <x v="3"/>
    <x v="3"/>
    <x v="2"/>
  </r>
  <r>
    <s v="TX500496"/>
    <x v="19"/>
    <x v="1"/>
    <n v="27.7"/>
    <x v="466"/>
    <x v="21"/>
    <d v="2025-01-23T00:00:00"/>
    <s v="F"/>
    <x v="0"/>
    <x v="1"/>
    <x v="0"/>
    <x v="13"/>
    <x v="3"/>
    <x v="3"/>
    <x v="2"/>
  </r>
  <r>
    <s v="TX500497"/>
    <x v="10"/>
    <x v="4"/>
    <n v="20.8"/>
    <x v="467"/>
    <x v="21"/>
    <d v="2025-01-23T00:00:00"/>
    <s v="M"/>
    <x v="3"/>
    <x v="0"/>
    <x v="0"/>
    <x v="13"/>
    <x v="3"/>
    <x v="3"/>
    <x v="1"/>
  </r>
  <r>
    <s v="TX500498"/>
    <x v="11"/>
    <x v="1"/>
    <n v="72.7"/>
    <x v="468"/>
    <x v="21"/>
    <d v="2025-01-26T00:00:00"/>
    <s v="F"/>
    <x v="4"/>
    <x v="2"/>
    <x v="0"/>
    <x v="44"/>
    <x v="5"/>
    <x v="3"/>
    <x v="2"/>
  </r>
  <r>
    <s v="TX500499"/>
    <x v="10"/>
    <x v="12"/>
    <n v="38.6"/>
    <x v="55"/>
    <x v="21"/>
    <d v="2025-01-23T00:00:00"/>
    <s v="M"/>
    <x v="0"/>
    <x v="2"/>
    <x v="0"/>
    <x v="22"/>
    <x v="3"/>
    <x v="3"/>
    <x v="1"/>
  </r>
  <r>
    <s v="TX500500"/>
    <x v="8"/>
    <x v="3"/>
    <n v="33.1"/>
    <x v="217"/>
    <x v="21"/>
    <d v="2025-01-23T00:00:00"/>
    <s v="O"/>
    <x v="4"/>
    <x v="3"/>
    <x v="0"/>
    <x v="3"/>
    <x v="3"/>
    <x v="3"/>
    <x v="3"/>
  </r>
  <r>
    <s v="TX500501"/>
    <x v="10"/>
    <x v="1"/>
    <n v="30.5"/>
    <x v="170"/>
    <x v="21"/>
    <d v="2025-01-22T00:00:00"/>
    <s v=""/>
    <x v="1"/>
    <x v="1"/>
    <x v="0"/>
    <x v="3"/>
    <x v="7"/>
    <x v="3"/>
    <x v="0"/>
  </r>
  <r>
    <s v="TX500502"/>
    <x v="9"/>
    <x v="1"/>
    <n v="69.599999999999994"/>
    <x v="388"/>
    <x v="21"/>
    <d v="2025-01-23T00:00:00"/>
    <s v="M"/>
    <x v="0"/>
    <x v="1"/>
    <x v="0"/>
    <x v="3"/>
    <x v="3"/>
    <x v="3"/>
    <x v="1"/>
  </r>
  <r>
    <s v="TX500503"/>
    <x v="11"/>
    <x v="0"/>
    <n v="42.4"/>
    <x v="469"/>
    <x v="21"/>
    <d v="2025-01-26T00:00:00"/>
    <s v="F"/>
    <x v="1"/>
    <x v="0"/>
    <x v="0"/>
    <x v="3"/>
    <x v="5"/>
    <x v="3"/>
    <x v="2"/>
  </r>
  <r>
    <s v="TX500504"/>
    <x v="17"/>
    <x v="0"/>
    <n v="32.200000000000003"/>
    <x v="390"/>
    <x v="21"/>
    <d v="2025-01-25T00:00:00"/>
    <s v="F"/>
    <x v="2"/>
    <x v="1"/>
    <x v="0"/>
    <x v="3"/>
    <x v="2"/>
    <x v="3"/>
    <x v="2"/>
  </r>
  <r>
    <s v="TX500505"/>
    <x v="6"/>
    <x v="1"/>
    <n v="41.5"/>
    <x v="470"/>
    <x v="21"/>
    <d v="2025-01-25T00:00:00"/>
    <s v="F"/>
    <x v="0"/>
    <x v="2"/>
    <x v="0"/>
    <x v="3"/>
    <x v="2"/>
    <x v="3"/>
    <x v="2"/>
  </r>
  <r>
    <s v="TX500506"/>
    <x v="16"/>
    <x v="11"/>
    <n v="58.9"/>
    <x v="471"/>
    <x v="21"/>
    <d v="2025-01-26T00:00:00"/>
    <s v="F"/>
    <x v="3"/>
    <x v="0"/>
    <x v="0"/>
    <x v="3"/>
    <x v="5"/>
    <x v="3"/>
    <x v="2"/>
  </r>
  <r>
    <s v="TX500507"/>
    <x v="2"/>
    <x v="0"/>
    <n v="57.1"/>
    <x v="472"/>
    <x v="21"/>
    <d v="2025-01-25T00:00:00"/>
    <s v="F"/>
    <x v="1"/>
    <x v="0"/>
    <x v="0"/>
    <x v="3"/>
    <x v="2"/>
    <x v="3"/>
    <x v="2"/>
  </r>
  <r>
    <s v="TX500508"/>
    <x v="6"/>
    <x v="0"/>
    <n v="57.2"/>
    <x v="473"/>
    <x v="21"/>
    <d v="2025-01-24T00:00:00"/>
    <s v="M"/>
    <x v="1"/>
    <x v="0"/>
    <x v="0"/>
    <x v="3"/>
    <x v="1"/>
    <x v="3"/>
    <x v="1"/>
  </r>
  <r>
    <s v="TX500509"/>
    <x v="8"/>
    <x v="1"/>
    <n v="35.1"/>
    <x v="474"/>
    <x v="21"/>
    <d v="2025-01-23T00:00:00"/>
    <s v="M"/>
    <x v="1"/>
    <x v="0"/>
    <x v="0"/>
    <x v="6"/>
    <x v="3"/>
    <x v="3"/>
    <x v="1"/>
  </r>
  <r>
    <s v="TX500510"/>
    <x v="1"/>
    <x v="0"/>
    <n v="52.1"/>
    <x v="475"/>
    <x v="21"/>
    <d v="2025-01-24T00:00:00"/>
    <s v="F"/>
    <x v="4"/>
    <x v="1"/>
    <x v="0"/>
    <x v="8"/>
    <x v="1"/>
    <x v="3"/>
    <x v="2"/>
  </r>
  <r>
    <s v="TX500511"/>
    <x v="13"/>
    <x v="2"/>
    <n v="59.8"/>
    <x v="476"/>
    <x v="21"/>
    <d v="2025-01-24T00:00:00"/>
    <s v="F"/>
    <x v="4"/>
    <x v="1"/>
    <x v="0"/>
    <x v="8"/>
    <x v="1"/>
    <x v="3"/>
    <x v="2"/>
  </r>
  <r>
    <s v="TX500512"/>
    <x v="3"/>
    <x v="12"/>
    <n v="83.3"/>
    <x v="477"/>
    <x v="21"/>
    <d v="2025-01-22T00:00:00"/>
    <s v=""/>
    <x v="2"/>
    <x v="0"/>
    <x v="0"/>
    <x v="8"/>
    <x v="7"/>
    <x v="3"/>
    <x v="0"/>
  </r>
  <r>
    <s v="TX500513"/>
    <x v="15"/>
    <x v="4"/>
    <n v="41.3"/>
    <x v="478"/>
    <x v="21"/>
    <d v="2025-01-23T00:00:00"/>
    <s v="F"/>
    <x v="1"/>
    <x v="0"/>
    <x v="0"/>
    <x v="8"/>
    <x v="3"/>
    <x v="3"/>
    <x v="2"/>
  </r>
  <r>
    <s v="TX500514"/>
    <x v="8"/>
    <x v="9"/>
    <n v="16"/>
    <x v="479"/>
    <x v="21"/>
    <d v="2025-01-24T00:00:00"/>
    <s v="M"/>
    <x v="4"/>
    <x v="1"/>
    <x v="0"/>
    <x v="9"/>
    <x v="1"/>
    <x v="3"/>
    <x v="1"/>
  </r>
  <r>
    <s v="TX500515"/>
    <x v="10"/>
    <x v="1"/>
    <n v="20.8"/>
    <x v="480"/>
    <x v="22"/>
    <d v="2025-01-25T00:00:00"/>
    <s v="M"/>
    <x v="0"/>
    <x v="2"/>
    <x v="0"/>
    <x v="11"/>
    <x v="1"/>
    <x v="3"/>
    <x v="1"/>
  </r>
  <r>
    <s v="TX500516"/>
    <x v="8"/>
    <x v="31"/>
    <n v="27.1"/>
    <x v="481"/>
    <x v="22"/>
    <d v="2025-01-24T00:00:00"/>
    <s v=""/>
    <x v="3"/>
    <x v="2"/>
    <x v="0"/>
    <x v="11"/>
    <x v="3"/>
    <x v="3"/>
    <x v="0"/>
  </r>
  <r>
    <s v="TX500517"/>
    <x v="10"/>
    <x v="1"/>
    <n v="38.9"/>
    <x v="482"/>
    <x v="22"/>
    <d v="2025-01-25T00:00:00"/>
    <s v="F"/>
    <x v="0"/>
    <x v="0"/>
    <x v="0"/>
    <x v="18"/>
    <x v="1"/>
    <x v="3"/>
    <x v="2"/>
  </r>
  <r>
    <s v="TX500518"/>
    <x v="0"/>
    <x v="1"/>
    <n v="10.8"/>
    <x v="483"/>
    <x v="22"/>
    <d v="2025-01-26T00:00:00"/>
    <s v="F"/>
    <x v="1"/>
    <x v="2"/>
    <x v="0"/>
    <x v="45"/>
    <x v="2"/>
    <x v="3"/>
    <x v="2"/>
  </r>
  <r>
    <s v="TX500519"/>
    <x v="4"/>
    <x v="15"/>
    <n v="48.4"/>
    <x v="484"/>
    <x v="22"/>
    <d v="2025-01-27T00:00:00"/>
    <s v="F"/>
    <x v="0"/>
    <x v="0"/>
    <x v="0"/>
    <x v="21"/>
    <x v="5"/>
    <x v="3"/>
    <x v="2"/>
  </r>
  <r>
    <s v="TX500520"/>
    <x v="4"/>
    <x v="2"/>
    <n v="29.2"/>
    <x v="485"/>
    <x v="22"/>
    <d v="2025-01-26T00:00:00"/>
    <s v="F"/>
    <x v="1"/>
    <x v="1"/>
    <x v="0"/>
    <x v="2"/>
    <x v="2"/>
    <x v="3"/>
    <x v="2"/>
  </r>
  <r>
    <s v="TX500521"/>
    <x v="4"/>
    <x v="1"/>
    <n v="25.1"/>
    <x v="486"/>
    <x v="22"/>
    <d v="2025-01-24T00:00:00"/>
    <s v="M"/>
    <x v="0"/>
    <x v="1"/>
    <x v="0"/>
    <x v="2"/>
    <x v="3"/>
    <x v="3"/>
    <x v="1"/>
  </r>
  <r>
    <s v="TX500522"/>
    <x v="7"/>
    <x v="2"/>
    <n v="65.599999999999994"/>
    <x v="487"/>
    <x v="22"/>
    <d v="2025-01-23T00:00:00"/>
    <s v="F"/>
    <x v="2"/>
    <x v="1"/>
    <x v="0"/>
    <x v="3"/>
    <x v="7"/>
    <x v="3"/>
    <x v="2"/>
  </r>
  <r>
    <s v="TX500523"/>
    <x v="2"/>
    <x v="1"/>
    <n v="57.3"/>
    <x v="488"/>
    <x v="22"/>
    <d v="2025-01-23T00:00:00"/>
    <s v=""/>
    <x v="0"/>
    <x v="0"/>
    <x v="0"/>
    <x v="3"/>
    <x v="7"/>
    <x v="3"/>
    <x v="0"/>
  </r>
  <r>
    <s v="TX500524"/>
    <x v="9"/>
    <x v="12"/>
    <n v="22.4"/>
    <x v="70"/>
    <x v="22"/>
    <d v="2025-01-24T00:00:00"/>
    <s v="F"/>
    <x v="2"/>
    <x v="2"/>
    <x v="0"/>
    <x v="3"/>
    <x v="3"/>
    <x v="3"/>
    <x v="2"/>
  </r>
  <r>
    <s v="TX500525"/>
    <x v="12"/>
    <x v="11"/>
    <n v="45.7"/>
    <x v="489"/>
    <x v="22"/>
    <d v="2025-01-24T00:00:00"/>
    <s v="F"/>
    <x v="0"/>
    <x v="0"/>
    <x v="0"/>
    <x v="3"/>
    <x v="3"/>
    <x v="3"/>
    <x v="2"/>
  </r>
  <r>
    <s v="TX500526"/>
    <x v="8"/>
    <x v="1"/>
    <n v="29.3"/>
    <x v="150"/>
    <x v="22"/>
    <d v="2025-01-24T00:00:00"/>
    <s v="M"/>
    <x v="1"/>
    <x v="0"/>
    <x v="0"/>
    <x v="3"/>
    <x v="3"/>
    <x v="3"/>
    <x v="1"/>
  </r>
  <r>
    <s v="TX500527"/>
    <x v="18"/>
    <x v="32"/>
    <n v="74"/>
    <x v="490"/>
    <x v="22"/>
    <d v="2025-01-24T00:00:00"/>
    <s v="M"/>
    <x v="0"/>
    <x v="2"/>
    <x v="0"/>
    <x v="3"/>
    <x v="3"/>
    <x v="3"/>
    <x v="1"/>
  </r>
  <r>
    <s v="TX500528"/>
    <x v="14"/>
    <x v="1"/>
    <n v="39.200000000000003"/>
    <x v="491"/>
    <x v="22"/>
    <d v="2025-01-25T00:00:00"/>
    <s v="F"/>
    <x v="1"/>
    <x v="0"/>
    <x v="0"/>
    <x v="3"/>
    <x v="1"/>
    <x v="3"/>
    <x v="2"/>
  </r>
  <r>
    <s v="TX500529"/>
    <x v="4"/>
    <x v="14"/>
    <n v="62.7"/>
    <x v="492"/>
    <x v="22"/>
    <d v="2025-01-24T00:00:00"/>
    <s v="F"/>
    <x v="2"/>
    <x v="1"/>
    <x v="0"/>
    <x v="3"/>
    <x v="3"/>
    <x v="3"/>
    <x v="2"/>
  </r>
  <r>
    <s v="TX500530"/>
    <x v="10"/>
    <x v="1"/>
    <n v="60.1"/>
    <x v="493"/>
    <x v="22"/>
    <d v="2025-01-24T00:00:00"/>
    <s v="F"/>
    <x v="3"/>
    <x v="0"/>
    <x v="0"/>
    <x v="3"/>
    <x v="3"/>
    <x v="3"/>
    <x v="2"/>
  </r>
  <r>
    <s v="TX500531"/>
    <x v="0"/>
    <x v="12"/>
    <n v="11.2"/>
    <x v="438"/>
    <x v="22"/>
    <d v="2025-01-24T00:00:00"/>
    <s v="F"/>
    <x v="3"/>
    <x v="1"/>
    <x v="0"/>
    <x v="3"/>
    <x v="3"/>
    <x v="3"/>
    <x v="2"/>
  </r>
  <r>
    <s v="TX500532"/>
    <x v="8"/>
    <x v="1"/>
    <n v="22.9"/>
    <x v="494"/>
    <x v="22"/>
    <d v="2025-01-24T00:00:00"/>
    <s v="F"/>
    <x v="0"/>
    <x v="0"/>
    <x v="0"/>
    <x v="6"/>
    <x v="3"/>
    <x v="3"/>
    <x v="2"/>
  </r>
  <r>
    <s v="TX500533"/>
    <x v="1"/>
    <x v="1"/>
    <n v="37.6"/>
    <x v="495"/>
    <x v="22"/>
    <d v="2025-01-26T00:00:00"/>
    <s v="F"/>
    <x v="0"/>
    <x v="0"/>
    <x v="0"/>
    <x v="6"/>
    <x v="2"/>
    <x v="3"/>
    <x v="2"/>
  </r>
  <r>
    <s v="TX500534"/>
    <x v="6"/>
    <x v="0"/>
    <n v="42.4"/>
    <x v="469"/>
    <x v="22"/>
    <d v="2025-01-24T00:00:00"/>
    <s v="F"/>
    <x v="3"/>
    <x v="2"/>
    <x v="0"/>
    <x v="6"/>
    <x v="3"/>
    <x v="3"/>
    <x v="2"/>
  </r>
  <r>
    <s v="TX500535"/>
    <x v="8"/>
    <x v="1"/>
    <n v="19.600000000000001"/>
    <x v="496"/>
    <x v="22"/>
    <d v="2025-01-27T00:00:00"/>
    <s v="F"/>
    <x v="2"/>
    <x v="0"/>
    <x v="0"/>
    <x v="7"/>
    <x v="5"/>
    <x v="3"/>
    <x v="2"/>
  </r>
  <r>
    <s v="TX500536"/>
    <x v="9"/>
    <x v="0"/>
    <n v="90.5"/>
    <x v="497"/>
    <x v="22"/>
    <d v="2025-01-26T00:00:00"/>
    <s v="F"/>
    <x v="2"/>
    <x v="0"/>
    <x v="0"/>
    <x v="7"/>
    <x v="2"/>
    <x v="3"/>
    <x v="2"/>
  </r>
  <r>
    <s v="TX500537"/>
    <x v="16"/>
    <x v="5"/>
    <n v="33.9"/>
    <x v="498"/>
    <x v="22"/>
    <d v="2025-01-24T00:00:00"/>
    <s v="M"/>
    <x v="2"/>
    <x v="1"/>
    <x v="0"/>
    <x v="7"/>
    <x v="3"/>
    <x v="3"/>
    <x v="1"/>
  </r>
  <r>
    <s v="TX500538"/>
    <x v="0"/>
    <x v="1"/>
    <n v="32.799999999999997"/>
    <x v="499"/>
    <x v="22"/>
    <d v="2025-01-25T00:00:00"/>
    <s v="F"/>
    <x v="4"/>
    <x v="4"/>
    <x v="0"/>
    <x v="8"/>
    <x v="1"/>
    <x v="3"/>
    <x v="2"/>
  </r>
  <r>
    <s v="TX500539"/>
    <x v="15"/>
    <x v="0"/>
    <n v="49.9"/>
    <x v="500"/>
    <x v="22"/>
    <d v="2025-01-24T00:00:00"/>
    <s v="M"/>
    <x v="3"/>
    <x v="1"/>
    <x v="0"/>
    <x v="8"/>
    <x v="3"/>
    <x v="3"/>
    <x v="1"/>
  </r>
  <r>
    <s v="TX500540"/>
    <x v="7"/>
    <x v="9"/>
    <n v="79.2"/>
    <x v="501"/>
    <x v="22"/>
    <d v="2025-01-24T00:00:00"/>
    <s v="F"/>
    <x v="4"/>
    <x v="0"/>
    <x v="0"/>
    <x v="8"/>
    <x v="3"/>
    <x v="3"/>
    <x v="2"/>
  </r>
  <r>
    <s v="TX500541"/>
    <x v="8"/>
    <x v="27"/>
    <n v="19.5"/>
    <x v="502"/>
    <x v="22"/>
    <d v="2025-01-25T00:00:00"/>
    <s v="M"/>
    <x v="3"/>
    <x v="2"/>
    <x v="0"/>
    <x v="8"/>
    <x v="1"/>
    <x v="3"/>
    <x v="1"/>
  </r>
  <r>
    <s v="TX500542"/>
    <x v="8"/>
    <x v="12"/>
    <n v="18"/>
    <x v="503"/>
    <x v="22"/>
    <d v="2025-01-24T00:00:00"/>
    <s v="M"/>
    <x v="1"/>
    <x v="0"/>
    <x v="0"/>
    <x v="10"/>
    <x v="3"/>
    <x v="3"/>
    <x v="1"/>
  </r>
  <r>
    <s v="TX500543"/>
    <x v="9"/>
    <x v="2"/>
    <n v="45.9"/>
    <x v="223"/>
    <x v="22"/>
    <d v="2025-01-25T00:00:00"/>
    <s v="F"/>
    <x v="1"/>
    <x v="1"/>
    <x v="0"/>
    <x v="10"/>
    <x v="1"/>
    <x v="3"/>
    <x v="2"/>
  </r>
  <r>
    <s v="TX500544"/>
    <x v="11"/>
    <x v="0"/>
    <n v="41.2"/>
    <x v="504"/>
    <x v="22"/>
    <d v="2025-01-25T00:00:00"/>
    <s v="F"/>
    <x v="1"/>
    <x v="2"/>
    <x v="0"/>
    <x v="11"/>
    <x v="1"/>
    <x v="3"/>
    <x v="2"/>
  </r>
  <r>
    <s v="TX500545"/>
    <x v="2"/>
    <x v="7"/>
    <n v="167.2"/>
    <x v="505"/>
    <x v="22"/>
    <d v="2025-01-25T00:00:00"/>
    <s v="F"/>
    <x v="2"/>
    <x v="2"/>
    <x v="0"/>
    <x v="32"/>
    <x v="1"/>
    <x v="3"/>
    <x v="2"/>
  </r>
  <r>
    <s v="TX500546"/>
    <x v="6"/>
    <x v="17"/>
    <n v="74.5"/>
    <x v="506"/>
    <x v="23"/>
    <d v="2025-01-27T00:00:00"/>
    <s v="F"/>
    <x v="1"/>
    <x v="2"/>
    <x v="0"/>
    <x v="38"/>
    <x v="2"/>
    <x v="3"/>
    <x v="2"/>
  </r>
  <r>
    <s v="TX500547"/>
    <x v="7"/>
    <x v="12"/>
    <n v="39.299999999999997"/>
    <x v="507"/>
    <x v="23"/>
    <d v="2025-01-25T00:00:00"/>
    <s v=""/>
    <x v="2"/>
    <x v="0"/>
    <x v="0"/>
    <x v="19"/>
    <x v="3"/>
    <x v="3"/>
    <x v="0"/>
  </r>
  <r>
    <s v="TX500548"/>
    <x v="9"/>
    <x v="0"/>
    <n v="68.5"/>
    <x v="508"/>
    <x v="23"/>
    <d v="2025-01-27T00:00:00"/>
    <s v="M"/>
    <x v="1"/>
    <x v="2"/>
    <x v="0"/>
    <x v="12"/>
    <x v="2"/>
    <x v="3"/>
    <x v="1"/>
  </r>
  <r>
    <s v="TX500549"/>
    <x v="0"/>
    <x v="2"/>
    <n v="22.5"/>
    <x v="509"/>
    <x v="23"/>
    <d v="2025-01-24T00:00:00"/>
    <s v="F"/>
    <x v="4"/>
    <x v="0"/>
    <x v="0"/>
    <x v="13"/>
    <x v="7"/>
    <x v="3"/>
    <x v="2"/>
  </r>
  <r>
    <s v="TX500550"/>
    <x v="1"/>
    <x v="0"/>
    <n v="48"/>
    <x v="510"/>
    <x v="23"/>
    <d v="2025-01-25T00:00:00"/>
    <s v="O"/>
    <x v="4"/>
    <x v="1"/>
    <x v="0"/>
    <x v="46"/>
    <x v="3"/>
    <x v="3"/>
    <x v="3"/>
  </r>
  <r>
    <s v="TX500551"/>
    <x v="6"/>
    <x v="0"/>
    <n v="94"/>
    <x v="255"/>
    <x v="23"/>
    <d v="2025-01-25T00:00:00"/>
    <s v="M"/>
    <x v="3"/>
    <x v="1"/>
    <x v="0"/>
    <x v="1"/>
    <x v="3"/>
    <x v="3"/>
    <x v="1"/>
  </r>
  <r>
    <s v="TX500552"/>
    <x v="8"/>
    <x v="2"/>
    <n v="21.9"/>
    <x v="511"/>
    <x v="23"/>
    <d v="2025-01-25T00:00:00"/>
    <s v="F"/>
    <x v="0"/>
    <x v="0"/>
    <x v="0"/>
    <x v="44"/>
    <x v="3"/>
    <x v="3"/>
    <x v="2"/>
  </r>
  <r>
    <s v="TX500553"/>
    <x v="6"/>
    <x v="3"/>
    <n v="64.900000000000006"/>
    <x v="512"/>
    <x v="23"/>
    <d v="2025-01-25T00:00:00"/>
    <s v="F"/>
    <x v="0"/>
    <x v="0"/>
    <x v="0"/>
    <x v="3"/>
    <x v="3"/>
    <x v="3"/>
    <x v="2"/>
  </r>
  <r>
    <s v="TX500554"/>
    <x v="12"/>
    <x v="0"/>
    <n v="52.9"/>
    <x v="513"/>
    <x v="23"/>
    <d v="2025-01-24T00:00:00"/>
    <s v="F"/>
    <x v="1"/>
    <x v="1"/>
    <x v="0"/>
    <x v="3"/>
    <x v="7"/>
    <x v="3"/>
    <x v="2"/>
  </r>
  <r>
    <s v="TX500555"/>
    <x v="8"/>
    <x v="2"/>
    <n v="25.5"/>
    <x v="514"/>
    <x v="23"/>
    <d v="2025-01-25T00:00:00"/>
    <s v="F"/>
    <x v="1"/>
    <x v="2"/>
    <x v="0"/>
    <x v="3"/>
    <x v="3"/>
    <x v="3"/>
    <x v="2"/>
  </r>
  <r>
    <s v="TX500556"/>
    <x v="6"/>
    <x v="2"/>
    <n v="51.9"/>
    <x v="515"/>
    <x v="23"/>
    <d v="2025-01-25T00:00:00"/>
    <s v="F"/>
    <x v="3"/>
    <x v="0"/>
    <x v="0"/>
    <x v="3"/>
    <x v="3"/>
    <x v="3"/>
    <x v="2"/>
  </r>
  <r>
    <s v="TX500557"/>
    <x v="5"/>
    <x v="0"/>
    <n v="46.3"/>
    <x v="516"/>
    <x v="23"/>
    <d v="2025-01-27T00:00:00"/>
    <s v="F"/>
    <x v="4"/>
    <x v="0"/>
    <x v="0"/>
    <x v="3"/>
    <x v="2"/>
    <x v="3"/>
    <x v="2"/>
  </r>
  <r>
    <s v="TX500558"/>
    <x v="6"/>
    <x v="1"/>
    <n v="68.2"/>
    <x v="517"/>
    <x v="23"/>
    <d v="2025-01-26T00:00:00"/>
    <s v="F"/>
    <x v="3"/>
    <x v="0"/>
    <x v="0"/>
    <x v="3"/>
    <x v="1"/>
    <x v="3"/>
    <x v="2"/>
  </r>
  <r>
    <s v="TX500559"/>
    <x v="1"/>
    <x v="0"/>
    <n v="40.299999999999997"/>
    <x v="518"/>
    <x v="23"/>
    <d v="2025-01-25T00:00:00"/>
    <s v="M"/>
    <x v="0"/>
    <x v="1"/>
    <x v="0"/>
    <x v="3"/>
    <x v="3"/>
    <x v="3"/>
    <x v="1"/>
  </r>
  <r>
    <s v="TX500560"/>
    <x v="2"/>
    <x v="2"/>
    <n v="91.3"/>
    <x v="54"/>
    <x v="23"/>
    <d v="2025-01-29T00:00:00"/>
    <s v="M"/>
    <x v="0"/>
    <x v="2"/>
    <x v="0"/>
    <x v="6"/>
    <x v="0"/>
    <x v="3"/>
    <x v="1"/>
  </r>
  <r>
    <s v="TX500561"/>
    <x v="0"/>
    <x v="2"/>
    <n v="11.9"/>
    <x v="519"/>
    <x v="23"/>
    <d v="2025-01-25T00:00:00"/>
    <s v="F"/>
    <x v="0"/>
    <x v="1"/>
    <x v="0"/>
    <x v="6"/>
    <x v="3"/>
    <x v="3"/>
    <x v="2"/>
  </r>
  <r>
    <s v="TX500562"/>
    <x v="2"/>
    <x v="1"/>
    <n v="63.5"/>
    <x v="520"/>
    <x v="23"/>
    <d v="2025-01-26T00:00:00"/>
    <s v="M"/>
    <x v="1"/>
    <x v="0"/>
    <x v="0"/>
    <x v="6"/>
    <x v="1"/>
    <x v="3"/>
    <x v="1"/>
  </r>
  <r>
    <s v="TX500563"/>
    <x v="4"/>
    <x v="1"/>
    <n v="27.1"/>
    <x v="521"/>
    <x v="23"/>
    <d v="2025-01-27T00:00:00"/>
    <s v="M"/>
    <x v="2"/>
    <x v="2"/>
    <x v="0"/>
    <x v="6"/>
    <x v="2"/>
    <x v="3"/>
    <x v="1"/>
  </r>
  <r>
    <s v="TX500564"/>
    <x v="1"/>
    <x v="1"/>
    <n v="82.1"/>
    <x v="522"/>
    <x v="24"/>
    <d v="2025-01-28T00:00:00"/>
    <s v="M"/>
    <x v="1"/>
    <x v="1"/>
    <x v="0"/>
    <x v="7"/>
    <x v="2"/>
    <x v="3"/>
    <x v="1"/>
  </r>
  <r>
    <s v="TX500565"/>
    <x v="3"/>
    <x v="9"/>
    <n v="42.9"/>
    <x v="523"/>
    <x v="24"/>
    <d v="2025-01-27T00:00:00"/>
    <s v="F"/>
    <x v="1"/>
    <x v="0"/>
    <x v="0"/>
    <x v="8"/>
    <x v="1"/>
    <x v="3"/>
    <x v="2"/>
  </r>
  <r>
    <s v="TX500566"/>
    <x v="8"/>
    <x v="5"/>
    <n v="37.9"/>
    <x v="524"/>
    <x v="24"/>
    <d v="2025-02-01T00:00:00"/>
    <s v="M"/>
    <x v="0"/>
    <x v="0"/>
    <x v="0"/>
    <x v="8"/>
    <x v="6"/>
    <x v="3"/>
    <x v="1"/>
  </r>
  <r>
    <s v="TX500567"/>
    <x v="0"/>
    <x v="0"/>
    <n v="22.4"/>
    <x v="525"/>
    <x v="24"/>
    <d v="2025-01-26T00:00:00"/>
    <s v="F"/>
    <x v="0"/>
    <x v="1"/>
    <x v="0"/>
    <x v="17"/>
    <x v="3"/>
    <x v="3"/>
    <x v="2"/>
  </r>
  <r>
    <s v="TX500568"/>
    <x v="2"/>
    <x v="15"/>
    <n v="79.900000000000006"/>
    <x v="526"/>
    <x v="24"/>
    <d v="2025-02-07T00:00:00"/>
    <s v="F"/>
    <x v="3"/>
    <x v="1"/>
    <x v="0"/>
    <x v="11"/>
    <x v="10"/>
    <x v="3"/>
    <x v="2"/>
  </r>
  <r>
    <s v="TX500569"/>
    <x v="1"/>
    <x v="0"/>
    <n v="70.599999999999994"/>
    <x v="527"/>
    <x v="24"/>
    <d v="2025-01-28T00:00:00"/>
    <s v="F"/>
    <x v="0"/>
    <x v="1"/>
    <x v="0"/>
    <x v="11"/>
    <x v="2"/>
    <x v="3"/>
    <x v="2"/>
  </r>
  <r>
    <s v="TX500570"/>
    <x v="6"/>
    <x v="0"/>
    <n v="49.5"/>
    <x v="528"/>
    <x v="24"/>
    <d v="2025-01-27T00:00:00"/>
    <s v="M"/>
    <x v="0"/>
    <x v="0"/>
    <x v="0"/>
    <x v="13"/>
    <x v="1"/>
    <x v="3"/>
    <x v="1"/>
  </r>
  <r>
    <s v="TX500571"/>
    <x v="2"/>
    <x v="1"/>
    <n v="96.6"/>
    <x v="529"/>
    <x v="24"/>
    <d v="2025-01-27T00:00:00"/>
    <s v="M"/>
    <x v="0"/>
    <x v="0"/>
    <x v="0"/>
    <x v="21"/>
    <x v="1"/>
    <x v="3"/>
    <x v="1"/>
  </r>
  <r>
    <s v="TX500572"/>
    <x v="6"/>
    <x v="1"/>
    <n v="52.8"/>
    <x v="142"/>
    <x v="24"/>
    <d v="2025-01-26T00:00:00"/>
    <s v="F"/>
    <x v="1"/>
    <x v="1"/>
    <x v="0"/>
    <x v="21"/>
    <x v="3"/>
    <x v="3"/>
    <x v="2"/>
  </r>
  <r>
    <s v="TX500573"/>
    <x v="2"/>
    <x v="0"/>
    <n v="101.7"/>
    <x v="530"/>
    <x v="24"/>
    <d v="2025-01-26T00:00:00"/>
    <s v="M"/>
    <x v="0"/>
    <x v="0"/>
    <x v="0"/>
    <x v="1"/>
    <x v="3"/>
    <x v="3"/>
    <x v="1"/>
  </r>
  <r>
    <s v="TX500574"/>
    <x v="4"/>
    <x v="9"/>
    <n v="26.9"/>
    <x v="531"/>
    <x v="24"/>
    <d v="2025-01-30T00:00:00"/>
    <s v="F"/>
    <x v="1"/>
    <x v="1"/>
    <x v="0"/>
    <x v="22"/>
    <x v="0"/>
    <x v="3"/>
    <x v="2"/>
  </r>
  <r>
    <s v="TX500575"/>
    <x v="2"/>
    <x v="12"/>
    <n v="211"/>
    <x v="532"/>
    <x v="24"/>
    <d v="2025-01-25T00:00:00"/>
    <s v="F"/>
    <x v="1"/>
    <x v="1"/>
    <x v="0"/>
    <x v="3"/>
    <x v="7"/>
    <x v="3"/>
    <x v="2"/>
  </r>
  <r>
    <s v="TX500576"/>
    <x v="0"/>
    <x v="12"/>
    <n v="21.1"/>
    <x v="533"/>
    <x v="24"/>
    <d v="2025-01-28T00:00:00"/>
    <s v="M"/>
    <x v="4"/>
    <x v="0"/>
    <x v="0"/>
    <x v="3"/>
    <x v="2"/>
    <x v="3"/>
    <x v="1"/>
  </r>
  <r>
    <s v="TX500577"/>
    <x v="10"/>
    <x v="0"/>
    <n v="26.6"/>
    <x v="534"/>
    <x v="24"/>
    <d v="2025-01-27T00:00:00"/>
    <s v="M"/>
    <x v="0"/>
    <x v="4"/>
    <x v="0"/>
    <x v="3"/>
    <x v="1"/>
    <x v="3"/>
    <x v="1"/>
  </r>
  <r>
    <s v="TX500578"/>
    <x v="12"/>
    <x v="12"/>
    <n v="51.2"/>
    <x v="403"/>
    <x v="24"/>
    <d v="2025-01-26T00:00:00"/>
    <s v="F"/>
    <x v="3"/>
    <x v="0"/>
    <x v="0"/>
    <x v="47"/>
    <x v="3"/>
    <x v="3"/>
    <x v="2"/>
  </r>
  <r>
    <s v="TX500579"/>
    <x v="0"/>
    <x v="9"/>
    <n v="10.6"/>
    <x v="535"/>
    <x v="24"/>
    <d v="2025-01-29T00:00:00"/>
    <s v="F"/>
    <x v="0"/>
    <x v="0"/>
    <x v="0"/>
    <x v="8"/>
    <x v="5"/>
    <x v="3"/>
    <x v="2"/>
  </r>
  <r>
    <s v="TX500580"/>
    <x v="6"/>
    <x v="2"/>
    <n v="43.4"/>
    <x v="33"/>
    <x v="24"/>
    <d v="2025-01-28T00:00:00"/>
    <s v="F"/>
    <x v="4"/>
    <x v="0"/>
    <x v="0"/>
    <x v="8"/>
    <x v="2"/>
    <x v="3"/>
    <x v="2"/>
  </r>
  <r>
    <s v="TX500581"/>
    <x v="12"/>
    <x v="0"/>
    <n v="80"/>
    <x v="479"/>
    <x v="24"/>
    <d v="2025-01-25T00:00:00"/>
    <s v="F"/>
    <x v="0"/>
    <x v="2"/>
    <x v="0"/>
    <x v="8"/>
    <x v="7"/>
    <x v="3"/>
    <x v="2"/>
  </r>
  <r>
    <s v="TX500582"/>
    <x v="10"/>
    <x v="12"/>
    <n v="64.7"/>
    <x v="536"/>
    <x v="24"/>
    <d v="2025-01-27T00:00:00"/>
    <s v="F"/>
    <x v="1"/>
    <x v="4"/>
    <x v="0"/>
    <x v="8"/>
    <x v="1"/>
    <x v="3"/>
    <x v="2"/>
  </r>
  <r>
    <s v="TX500583"/>
    <x v="8"/>
    <x v="5"/>
    <n v="26.3"/>
    <x v="537"/>
    <x v="25"/>
    <d v="2025-01-26T00:00:00"/>
    <s v="F"/>
    <x v="4"/>
    <x v="1"/>
    <x v="0"/>
    <x v="26"/>
    <x v="7"/>
    <x v="4"/>
    <x v="2"/>
  </r>
  <r>
    <s v="TX500584"/>
    <x v="10"/>
    <x v="0"/>
    <n v="28.5"/>
    <x v="425"/>
    <x v="25"/>
    <d v="2025-01-26T00:00:00"/>
    <s v="M"/>
    <x v="0"/>
    <x v="1"/>
    <x v="0"/>
    <x v="9"/>
    <x v="7"/>
    <x v="4"/>
    <x v="1"/>
  </r>
  <r>
    <s v="TX500585"/>
    <x v="17"/>
    <x v="0"/>
    <n v="47.8"/>
    <x v="538"/>
    <x v="25"/>
    <d v="2025-01-28T00:00:00"/>
    <s v="F"/>
    <x v="0"/>
    <x v="1"/>
    <x v="0"/>
    <x v="9"/>
    <x v="1"/>
    <x v="4"/>
    <x v="2"/>
  </r>
  <r>
    <s v="TX500586"/>
    <x v="10"/>
    <x v="2"/>
    <n v="42.8"/>
    <x v="539"/>
    <x v="25"/>
    <d v="2025-01-29T00:00:00"/>
    <s v="F"/>
    <x v="4"/>
    <x v="1"/>
    <x v="0"/>
    <x v="11"/>
    <x v="2"/>
    <x v="4"/>
    <x v="2"/>
  </r>
  <r>
    <s v="TX500587"/>
    <x v="6"/>
    <x v="9"/>
    <n v="46.8"/>
    <x v="540"/>
    <x v="25"/>
    <d v="2025-01-31T00:00:00"/>
    <s v="F"/>
    <x v="1"/>
    <x v="2"/>
    <x v="0"/>
    <x v="11"/>
    <x v="0"/>
    <x v="4"/>
    <x v="2"/>
  </r>
  <r>
    <s v="TX500588"/>
    <x v="1"/>
    <x v="7"/>
    <n v="64.099999999999994"/>
    <x v="541"/>
    <x v="25"/>
    <d v="2025-01-27T00:00:00"/>
    <s v="M"/>
    <x v="1"/>
    <x v="0"/>
    <x v="0"/>
    <x v="11"/>
    <x v="3"/>
    <x v="4"/>
    <x v="1"/>
  </r>
  <r>
    <s v="TX500589"/>
    <x v="2"/>
    <x v="0"/>
    <n v="89.1"/>
    <x v="542"/>
    <x v="25"/>
    <d v="2025-01-27T00:00:00"/>
    <s v="F"/>
    <x v="0"/>
    <x v="1"/>
    <x v="0"/>
    <x v="20"/>
    <x v="3"/>
    <x v="4"/>
    <x v="2"/>
  </r>
  <r>
    <s v="TX500590"/>
    <x v="2"/>
    <x v="2"/>
    <n v="83.1"/>
    <x v="543"/>
    <x v="25"/>
    <d v="2025-01-27T00:00:00"/>
    <s v="F"/>
    <x v="2"/>
    <x v="1"/>
    <x v="0"/>
    <x v="13"/>
    <x v="3"/>
    <x v="4"/>
    <x v="2"/>
  </r>
  <r>
    <s v="TX500591"/>
    <x v="8"/>
    <x v="2"/>
    <n v="40.9"/>
    <x v="544"/>
    <x v="25"/>
    <d v="2025-01-27T00:00:00"/>
    <s v="M"/>
    <x v="0"/>
    <x v="0"/>
    <x v="0"/>
    <x v="1"/>
    <x v="3"/>
    <x v="4"/>
    <x v="1"/>
  </r>
  <r>
    <s v="TX500592"/>
    <x v="2"/>
    <x v="1"/>
    <n v="125.7"/>
    <x v="545"/>
    <x v="25"/>
    <d v="2025-01-27T00:00:00"/>
    <s v="F"/>
    <x v="3"/>
    <x v="0"/>
    <x v="0"/>
    <x v="2"/>
    <x v="3"/>
    <x v="4"/>
    <x v="2"/>
  </r>
  <r>
    <s v="TX500593"/>
    <x v="3"/>
    <x v="1"/>
    <n v="30.9"/>
    <x v="546"/>
    <x v="25"/>
    <d v="2025-01-26T00:00:00"/>
    <s v="F"/>
    <x v="2"/>
    <x v="2"/>
    <x v="0"/>
    <x v="22"/>
    <x v="7"/>
    <x v="4"/>
    <x v="2"/>
  </r>
  <r>
    <s v="TX500594"/>
    <x v="8"/>
    <x v="1"/>
    <n v="18.3"/>
    <x v="547"/>
    <x v="25"/>
    <d v="2025-01-27T00:00:00"/>
    <s v="F"/>
    <x v="1"/>
    <x v="0"/>
    <x v="0"/>
    <x v="3"/>
    <x v="3"/>
    <x v="4"/>
    <x v="2"/>
  </r>
  <r>
    <s v="TX500595"/>
    <x v="4"/>
    <x v="1"/>
    <n v="56.5"/>
    <x v="548"/>
    <x v="25"/>
    <d v="2025-01-30T00:00:00"/>
    <s v="M"/>
    <x v="2"/>
    <x v="2"/>
    <x v="0"/>
    <x v="3"/>
    <x v="5"/>
    <x v="4"/>
    <x v="1"/>
  </r>
  <r>
    <s v="TX500596"/>
    <x v="10"/>
    <x v="3"/>
    <n v="29.9"/>
    <x v="549"/>
    <x v="25"/>
    <d v="2025-01-28T00:00:00"/>
    <s v="M"/>
    <x v="4"/>
    <x v="2"/>
    <x v="0"/>
    <x v="3"/>
    <x v="1"/>
    <x v="4"/>
    <x v="1"/>
  </r>
  <r>
    <s v="TX500597"/>
    <x v="5"/>
    <x v="1"/>
    <n v="50.4"/>
    <x v="90"/>
    <x v="25"/>
    <d v="2025-01-27T00:00:00"/>
    <s v="F"/>
    <x v="2"/>
    <x v="0"/>
    <x v="0"/>
    <x v="3"/>
    <x v="3"/>
    <x v="4"/>
    <x v="2"/>
  </r>
  <r>
    <s v="TX500598"/>
    <x v="2"/>
    <x v="0"/>
    <n v="85.8"/>
    <x v="550"/>
    <x v="25"/>
    <d v="2025-01-26T00:00:00"/>
    <s v="F"/>
    <x v="2"/>
    <x v="2"/>
    <x v="0"/>
    <x v="3"/>
    <x v="7"/>
    <x v="4"/>
    <x v="2"/>
  </r>
  <r>
    <s v="TX500599"/>
    <x v="4"/>
    <x v="27"/>
    <n v="66.599999999999994"/>
    <x v="551"/>
    <x v="25"/>
    <d v="2025-01-28T00:00:00"/>
    <s v="M"/>
    <x v="1"/>
    <x v="0"/>
    <x v="0"/>
    <x v="3"/>
    <x v="1"/>
    <x v="4"/>
    <x v="1"/>
  </r>
  <r>
    <s v="TX500600"/>
    <x v="6"/>
    <x v="12"/>
    <n v="70.3"/>
    <x v="552"/>
    <x v="25"/>
    <d v="2025-01-27T00:00:00"/>
    <s v="F"/>
    <x v="0"/>
    <x v="1"/>
    <x v="0"/>
    <x v="3"/>
    <x v="3"/>
    <x v="4"/>
    <x v="2"/>
  </r>
  <r>
    <s v="TX500601"/>
    <x v="8"/>
    <x v="12"/>
    <n v="31"/>
    <x v="553"/>
    <x v="25"/>
    <d v="2025-01-29T00:00:00"/>
    <s v="M"/>
    <x v="0"/>
    <x v="2"/>
    <x v="0"/>
    <x v="3"/>
    <x v="2"/>
    <x v="4"/>
    <x v="1"/>
  </r>
  <r>
    <s v="TX500602"/>
    <x v="7"/>
    <x v="13"/>
    <n v="81.599999999999994"/>
    <x v="554"/>
    <x v="25"/>
    <d v="2025-01-27T00:00:00"/>
    <s v="F"/>
    <x v="1"/>
    <x v="1"/>
    <x v="0"/>
    <x v="37"/>
    <x v="3"/>
    <x v="4"/>
    <x v="2"/>
  </r>
  <r>
    <s v="TX500603"/>
    <x v="1"/>
    <x v="30"/>
    <n v="58.3"/>
    <x v="555"/>
    <x v="25"/>
    <d v="2025-01-27T00:00:00"/>
    <s v="F"/>
    <x v="0"/>
    <x v="0"/>
    <x v="0"/>
    <x v="16"/>
    <x v="3"/>
    <x v="4"/>
    <x v="2"/>
  </r>
  <r>
    <s v="TX500604"/>
    <x v="1"/>
    <x v="12"/>
    <n v="35.1"/>
    <x v="381"/>
    <x v="25"/>
    <d v="2025-01-28T00:00:00"/>
    <s v="M"/>
    <x v="0"/>
    <x v="2"/>
    <x v="0"/>
    <x v="8"/>
    <x v="1"/>
    <x v="4"/>
    <x v="1"/>
  </r>
  <r>
    <s v="TX500605"/>
    <x v="2"/>
    <x v="0"/>
    <n v="80.2"/>
    <x v="556"/>
    <x v="25"/>
    <d v="2025-01-27T00:00:00"/>
    <s v="M"/>
    <x v="3"/>
    <x v="2"/>
    <x v="0"/>
    <x v="8"/>
    <x v="3"/>
    <x v="4"/>
    <x v="1"/>
  </r>
  <r>
    <s v="TX500606"/>
    <x v="14"/>
    <x v="2"/>
    <n v="39.200000000000003"/>
    <x v="557"/>
    <x v="25"/>
    <d v="2025-01-28T00:00:00"/>
    <s v="F"/>
    <x v="1"/>
    <x v="0"/>
    <x v="0"/>
    <x v="9"/>
    <x v="1"/>
    <x v="4"/>
    <x v="2"/>
  </r>
  <r>
    <s v="TX500607"/>
    <x v="0"/>
    <x v="1"/>
    <n v="15.4"/>
    <x v="558"/>
    <x v="25"/>
    <d v="2025-01-26T00:00:00"/>
    <s v="F"/>
    <x v="3"/>
    <x v="0"/>
    <x v="0"/>
    <x v="48"/>
    <x v="7"/>
    <x v="4"/>
    <x v="2"/>
  </r>
  <r>
    <s v="TX500608"/>
    <x v="3"/>
    <x v="2"/>
    <n v="65.400000000000006"/>
    <x v="338"/>
    <x v="25"/>
    <d v="2025-01-29T00:00:00"/>
    <s v="M"/>
    <x v="3"/>
    <x v="0"/>
    <x v="0"/>
    <x v="18"/>
    <x v="2"/>
    <x v="4"/>
    <x v="1"/>
  </r>
  <r>
    <s v="TX500609"/>
    <x v="1"/>
    <x v="8"/>
    <n v="63.2"/>
    <x v="559"/>
    <x v="25"/>
    <d v="2025-01-28T00:00:00"/>
    <s v="F"/>
    <x v="1"/>
    <x v="0"/>
    <x v="0"/>
    <x v="19"/>
    <x v="1"/>
    <x v="4"/>
    <x v="2"/>
  </r>
  <r>
    <s v="TX500610"/>
    <x v="1"/>
    <x v="13"/>
    <n v="35.700000000000003"/>
    <x v="560"/>
    <x v="25"/>
    <d v="2025-01-30T00:00:00"/>
    <s v="F"/>
    <x v="4"/>
    <x v="1"/>
    <x v="0"/>
    <x v="19"/>
    <x v="5"/>
    <x v="4"/>
    <x v="2"/>
  </r>
  <r>
    <s v="TX500611"/>
    <x v="0"/>
    <x v="28"/>
    <n v="26.2"/>
    <x v="561"/>
    <x v="25"/>
    <d v="2025-01-27T00:00:00"/>
    <s v="F"/>
    <x v="3"/>
    <x v="0"/>
    <x v="0"/>
    <x v="21"/>
    <x v="3"/>
    <x v="4"/>
    <x v="2"/>
  </r>
  <r>
    <s v="TX500612"/>
    <x v="7"/>
    <x v="1"/>
    <n v="31"/>
    <x v="85"/>
    <x v="25"/>
    <d v="2025-01-27T00:00:00"/>
    <s v="F"/>
    <x v="0"/>
    <x v="2"/>
    <x v="0"/>
    <x v="1"/>
    <x v="3"/>
    <x v="4"/>
    <x v="2"/>
  </r>
  <r>
    <s v="TX500613"/>
    <x v="8"/>
    <x v="12"/>
    <n v="37.700000000000003"/>
    <x v="562"/>
    <x v="25"/>
    <d v="2025-01-27T00:00:00"/>
    <s v="F"/>
    <x v="1"/>
    <x v="0"/>
    <x v="0"/>
    <x v="22"/>
    <x v="3"/>
    <x v="4"/>
    <x v="2"/>
  </r>
  <r>
    <s v="TX500614"/>
    <x v="10"/>
    <x v="33"/>
    <n v="43.6"/>
    <x v="563"/>
    <x v="25"/>
    <d v="2025-01-28T00:00:00"/>
    <s v="F"/>
    <x v="4"/>
    <x v="1"/>
    <x v="0"/>
    <x v="3"/>
    <x v="1"/>
    <x v="4"/>
    <x v="2"/>
  </r>
  <r>
    <s v="TX500615"/>
    <x v="9"/>
    <x v="12"/>
    <n v="26.5"/>
    <x v="101"/>
    <x v="25"/>
    <d v="2025-01-28T00:00:00"/>
    <s v="M"/>
    <x v="0"/>
    <x v="4"/>
    <x v="0"/>
    <x v="3"/>
    <x v="1"/>
    <x v="4"/>
    <x v="1"/>
  </r>
  <r>
    <s v="TX500616"/>
    <x v="0"/>
    <x v="1"/>
    <n v="34.6"/>
    <x v="564"/>
    <x v="25"/>
    <d v="2025-01-27T00:00:00"/>
    <s v="M"/>
    <x v="4"/>
    <x v="1"/>
    <x v="0"/>
    <x v="3"/>
    <x v="3"/>
    <x v="4"/>
    <x v="1"/>
  </r>
  <r>
    <s v="TX500617"/>
    <x v="8"/>
    <x v="1"/>
    <n v="58.2"/>
    <x v="565"/>
    <x v="25"/>
    <d v="2025-01-27T00:00:00"/>
    <s v="M"/>
    <x v="2"/>
    <x v="2"/>
    <x v="0"/>
    <x v="3"/>
    <x v="3"/>
    <x v="4"/>
    <x v="1"/>
  </r>
  <r>
    <s v="TX500618"/>
    <x v="7"/>
    <x v="0"/>
    <n v="30.2"/>
    <x v="242"/>
    <x v="26"/>
    <d v="2025-01-28T00:00:00"/>
    <s v="F"/>
    <x v="2"/>
    <x v="1"/>
    <x v="0"/>
    <x v="3"/>
    <x v="3"/>
    <x v="4"/>
    <x v="2"/>
  </r>
  <r>
    <s v="TX500619"/>
    <x v="1"/>
    <x v="7"/>
    <n v="53.2"/>
    <x v="566"/>
    <x v="26"/>
    <d v="2025-01-28T00:00:00"/>
    <s v="M"/>
    <x v="0"/>
    <x v="2"/>
    <x v="0"/>
    <x v="5"/>
    <x v="3"/>
    <x v="4"/>
    <x v="1"/>
  </r>
  <r>
    <s v="TX500620"/>
    <x v="12"/>
    <x v="13"/>
    <n v="51.1"/>
    <x v="567"/>
    <x v="26"/>
    <d v="2025-01-27T00:00:00"/>
    <s v="M"/>
    <x v="1"/>
    <x v="2"/>
    <x v="0"/>
    <x v="5"/>
    <x v="7"/>
    <x v="4"/>
    <x v="1"/>
  </r>
  <r>
    <s v="TX500621"/>
    <x v="1"/>
    <x v="0"/>
    <n v="105.4"/>
    <x v="568"/>
    <x v="26"/>
    <d v="2025-01-31T00:00:00"/>
    <s v="F"/>
    <x v="1"/>
    <x v="2"/>
    <x v="0"/>
    <x v="23"/>
    <x v="5"/>
    <x v="4"/>
    <x v="2"/>
  </r>
  <r>
    <s v="TX500622"/>
    <x v="7"/>
    <x v="0"/>
    <n v="57.7"/>
    <x v="569"/>
    <x v="26"/>
    <d v="2025-01-27T00:00:00"/>
    <s v="M"/>
    <x v="0"/>
    <x v="4"/>
    <x v="0"/>
    <x v="8"/>
    <x v="7"/>
    <x v="4"/>
    <x v="1"/>
  </r>
  <r>
    <s v="TX500623"/>
    <x v="15"/>
    <x v="1"/>
    <n v="72.400000000000006"/>
    <x v="353"/>
    <x v="26"/>
    <d v="2025-02-01T00:00:00"/>
    <s v="F"/>
    <x v="0"/>
    <x v="0"/>
    <x v="0"/>
    <x v="17"/>
    <x v="0"/>
    <x v="4"/>
    <x v="2"/>
  </r>
  <r>
    <s v="TX500624"/>
    <x v="6"/>
    <x v="1"/>
    <n v="62.5"/>
    <x v="570"/>
    <x v="26"/>
    <d v="2025-01-28T00:00:00"/>
    <s v=""/>
    <x v="0"/>
    <x v="2"/>
    <x v="0"/>
    <x v="11"/>
    <x v="3"/>
    <x v="4"/>
    <x v="0"/>
  </r>
  <r>
    <s v="TX500625"/>
    <x v="0"/>
    <x v="32"/>
    <n v="11.6"/>
    <x v="281"/>
    <x v="26"/>
    <d v="2025-01-29T00:00:00"/>
    <s v="F"/>
    <x v="3"/>
    <x v="2"/>
    <x v="0"/>
    <x v="18"/>
    <x v="1"/>
    <x v="4"/>
    <x v="2"/>
  </r>
  <r>
    <s v="TX500626"/>
    <x v="10"/>
    <x v="7"/>
    <n v="39.6"/>
    <x v="501"/>
    <x v="26"/>
    <d v="2025-01-29T00:00:00"/>
    <s v="F"/>
    <x v="2"/>
    <x v="2"/>
    <x v="0"/>
    <x v="18"/>
    <x v="1"/>
    <x v="4"/>
    <x v="2"/>
  </r>
  <r>
    <s v="TX500627"/>
    <x v="8"/>
    <x v="1"/>
    <n v="40.1"/>
    <x v="556"/>
    <x v="26"/>
    <d v="2025-01-28T00:00:00"/>
    <s v="F"/>
    <x v="2"/>
    <x v="0"/>
    <x v="0"/>
    <x v="18"/>
    <x v="3"/>
    <x v="4"/>
    <x v="2"/>
  </r>
  <r>
    <s v="TX500628"/>
    <x v="8"/>
    <x v="2"/>
    <n v="18.600000000000001"/>
    <x v="571"/>
    <x v="26"/>
    <d v="2025-01-28T00:00:00"/>
    <s v="F"/>
    <x v="2"/>
    <x v="0"/>
    <x v="0"/>
    <x v="21"/>
    <x v="3"/>
    <x v="4"/>
    <x v="2"/>
  </r>
  <r>
    <s v="TX500629"/>
    <x v="4"/>
    <x v="0"/>
    <n v="58.8"/>
    <x v="572"/>
    <x v="26"/>
    <d v="2025-01-29T00:00:00"/>
    <s v="F"/>
    <x v="0"/>
    <x v="1"/>
    <x v="0"/>
    <x v="21"/>
    <x v="1"/>
    <x v="4"/>
    <x v="2"/>
  </r>
  <r>
    <s v="TX500630"/>
    <x v="8"/>
    <x v="1"/>
    <n v="22.1"/>
    <x v="573"/>
    <x v="26"/>
    <d v="2025-01-30T00:00:00"/>
    <s v="M"/>
    <x v="1"/>
    <x v="2"/>
    <x v="0"/>
    <x v="21"/>
    <x v="2"/>
    <x v="4"/>
    <x v="1"/>
  </r>
  <r>
    <s v="TX500631"/>
    <x v="2"/>
    <x v="0"/>
    <n v="114.9"/>
    <x v="574"/>
    <x v="27"/>
    <d v="2025-01-29T00:00:00"/>
    <s v="F"/>
    <x v="1"/>
    <x v="1"/>
    <x v="0"/>
    <x v="22"/>
    <x v="3"/>
    <x v="4"/>
    <x v="2"/>
  </r>
  <r>
    <s v="TX500632"/>
    <x v="9"/>
    <x v="9"/>
    <n v="75.8"/>
    <x v="575"/>
    <x v="27"/>
    <d v="2025-01-29T00:00:00"/>
    <s v="M"/>
    <x v="0"/>
    <x v="2"/>
    <x v="0"/>
    <x v="3"/>
    <x v="3"/>
    <x v="4"/>
    <x v="1"/>
  </r>
  <r>
    <s v="TX500633"/>
    <x v="14"/>
    <x v="9"/>
    <n v="20.6"/>
    <x v="576"/>
    <x v="27"/>
    <d v="2025-01-29T00:00:00"/>
    <s v="M"/>
    <x v="2"/>
    <x v="2"/>
    <x v="0"/>
    <x v="3"/>
    <x v="3"/>
    <x v="4"/>
    <x v="1"/>
  </r>
  <r>
    <s v="TX500634"/>
    <x v="17"/>
    <x v="2"/>
    <n v="67.900000000000006"/>
    <x v="577"/>
    <x v="27"/>
    <d v="2025-01-29T00:00:00"/>
    <s v="F"/>
    <x v="1"/>
    <x v="1"/>
    <x v="0"/>
    <x v="3"/>
    <x v="3"/>
    <x v="4"/>
    <x v="2"/>
  </r>
  <r>
    <s v="TX500635"/>
    <x v="0"/>
    <x v="9"/>
    <n v="27"/>
    <x v="340"/>
    <x v="27"/>
    <d v="2025-02-04T00:00:00"/>
    <s v="F"/>
    <x v="0"/>
    <x v="2"/>
    <x v="0"/>
    <x v="3"/>
    <x v="6"/>
    <x v="4"/>
    <x v="2"/>
  </r>
  <r>
    <s v="TX500636"/>
    <x v="13"/>
    <x v="0"/>
    <n v="50.6"/>
    <x v="578"/>
    <x v="27"/>
    <d v="2025-01-28T00:00:00"/>
    <s v="M"/>
    <x v="0"/>
    <x v="1"/>
    <x v="0"/>
    <x v="3"/>
    <x v="7"/>
    <x v="4"/>
    <x v="1"/>
  </r>
  <r>
    <s v="TX500637"/>
    <x v="4"/>
    <x v="9"/>
    <n v="22.1"/>
    <x v="579"/>
    <x v="27"/>
    <d v="2025-02-02T00:00:00"/>
    <s v="M"/>
    <x v="0"/>
    <x v="0"/>
    <x v="0"/>
    <x v="3"/>
    <x v="0"/>
    <x v="4"/>
    <x v="1"/>
  </r>
  <r>
    <s v="TX500638"/>
    <x v="8"/>
    <x v="2"/>
    <n v="42.9"/>
    <x v="580"/>
    <x v="27"/>
    <d v="2025-01-30T00:00:00"/>
    <s v="F"/>
    <x v="0"/>
    <x v="0"/>
    <x v="0"/>
    <x v="3"/>
    <x v="1"/>
    <x v="4"/>
    <x v="2"/>
  </r>
  <r>
    <s v="TX500639"/>
    <x v="1"/>
    <x v="5"/>
    <n v="62.4"/>
    <x v="581"/>
    <x v="27"/>
    <d v="2025-01-30T00:00:00"/>
    <s v="F"/>
    <x v="2"/>
    <x v="0"/>
    <x v="0"/>
    <x v="3"/>
    <x v="1"/>
    <x v="4"/>
    <x v="2"/>
  </r>
  <r>
    <s v="TX500640"/>
    <x v="13"/>
    <x v="11"/>
    <n v="36.4"/>
    <x v="582"/>
    <x v="27"/>
    <d v="2025-01-30T00:00:00"/>
    <s v="F"/>
    <x v="0"/>
    <x v="2"/>
    <x v="0"/>
    <x v="3"/>
    <x v="1"/>
    <x v="4"/>
    <x v="2"/>
  </r>
  <r>
    <s v="TX500641"/>
    <x v="0"/>
    <x v="1"/>
    <n v="22.5"/>
    <x v="583"/>
    <x v="27"/>
    <d v="2025-01-31T00:00:00"/>
    <s v="M"/>
    <x v="0"/>
    <x v="0"/>
    <x v="0"/>
    <x v="3"/>
    <x v="2"/>
    <x v="4"/>
    <x v="1"/>
  </r>
  <r>
    <s v="TX500642"/>
    <x v="6"/>
    <x v="12"/>
    <n v="70.8"/>
    <x v="584"/>
    <x v="27"/>
    <d v="2025-01-30T00:00:00"/>
    <s v="F"/>
    <x v="4"/>
    <x v="0"/>
    <x v="0"/>
    <x v="3"/>
    <x v="1"/>
    <x v="4"/>
    <x v="2"/>
  </r>
  <r>
    <s v="TX500643"/>
    <x v="6"/>
    <x v="9"/>
    <n v="56.6"/>
    <x v="585"/>
    <x v="27"/>
    <d v="2025-01-30T00:00:00"/>
    <s v="M"/>
    <x v="0"/>
    <x v="1"/>
    <x v="0"/>
    <x v="4"/>
    <x v="1"/>
    <x v="4"/>
    <x v="1"/>
  </r>
  <r>
    <s v="TX500644"/>
    <x v="6"/>
    <x v="1"/>
    <n v="47.9"/>
    <x v="586"/>
    <x v="27"/>
    <d v="2025-01-29T00:00:00"/>
    <s v="F"/>
    <x v="0"/>
    <x v="0"/>
    <x v="0"/>
    <x v="6"/>
    <x v="3"/>
    <x v="4"/>
    <x v="2"/>
  </r>
  <r>
    <s v="TX500645"/>
    <x v="6"/>
    <x v="8"/>
    <n v="78.400000000000006"/>
    <x v="587"/>
    <x v="27"/>
    <d v="2025-01-30T00:00:00"/>
    <s v="F"/>
    <x v="1"/>
    <x v="0"/>
    <x v="0"/>
    <x v="6"/>
    <x v="1"/>
    <x v="4"/>
    <x v="2"/>
  </r>
  <r>
    <s v="TX500646"/>
    <x v="2"/>
    <x v="21"/>
    <n v="122.1"/>
    <x v="588"/>
    <x v="27"/>
    <d v="2025-02-02T00:00:00"/>
    <s v="F"/>
    <x v="0"/>
    <x v="2"/>
    <x v="0"/>
    <x v="6"/>
    <x v="0"/>
    <x v="4"/>
    <x v="2"/>
  </r>
  <r>
    <s v="TX500647"/>
    <x v="2"/>
    <x v="1"/>
    <n v="83.7"/>
    <x v="589"/>
    <x v="28"/>
    <d v="2025-01-29T00:00:00"/>
    <s v=""/>
    <x v="1"/>
    <x v="2"/>
    <x v="0"/>
    <x v="7"/>
    <x v="7"/>
    <x v="4"/>
    <x v="0"/>
  </r>
  <r>
    <s v="TX500648"/>
    <x v="3"/>
    <x v="12"/>
    <n v="97.9"/>
    <x v="590"/>
    <x v="28"/>
    <d v="2025-02-02T00:00:00"/>
    <s v="F"/>
    <x v="3"/>
    <x v="2"/>
    <x v="0"/>
    <x v="7"/>
    <x v="5"/>
    <x v="4"/>
    <x v="2"/>
  </r>
  <r>
    <s v="TX500649"/>
    <x v="14"/>
    <x v="0"/>
    <n v="15"/>
    <x v="591"/>
    <x v="28"/>
    <d v="2025-02-03T00:00:00"/>
    <s v="F"/>
    <x v="3"/>
    <x v="0"/>
    <x v="0"/>
    <x v="8"/>
    <x v="0"/>
    <x v="4"/>
    <x v="2"/>
  </r>
  <r>
    <s v="TX500650"/>
    <x v="12"/>
    <x v="2"/>
    <n v="94.6"/>
    <x v="592"/>
    <x v="28"/>
    <d v="2025-01-30T00:00:00"/>
    <s v="M"/>
    <x v="2"/>
    <x v="1"/>
    <x v="0"/>
    <x v="8"/>
    <x v="3"/>
    <x v="4"/>
    <x v="1"/>
  </r>
  <r>
    <s v="TX500651"/>
    <x v="0"/>
    <x v="13"/>
    <n v="19.7"/>
    <x v="593"/>
    <x v="28"/>
    <d v="2025-02-09T00:00:00"/>
    <s v="F"/>
    <x v="0"/>
    <x v="2"/>
    <x v="0"/>
    <x v="8"/>
    <x v="11"/>
    <x v="4"/>
    <x v="2"/>
  </r>
  <r>
    <s v="TX500652"/>
    <x v="7"/>
    <x v="0"/>
    <n v="46.7"/>
    <x v="594"/>
    <x v="28"/>
    <d v="2025-02-01T00:00:00"/>
    <s v="F"/>
    <x v="2"/>
    <x v="0"/>
    <x v="0"/>
    <x v="17"/>
    <x v="2"/>
    <x v="4"/>
    <x v="2"/>
  </r>
  <r>
    <s v="TX500653"/>
    <x v="1"/>
    <x v="12"/>
    <n v="43"/>
    <x v="595"/>
    <x v="28"/>
    <d v="2025-01-30T00:00:00"/>
    <s v="M"/>
    <x v="2"/>
    <x v="2"/>
    <x v="0"/>
    <x v="17"/>
    <x v="3"/>
    <x v="4"/>
    <x v="1"/>
  </r>
  <r>
    <s v="TX500654"/>
    <x v="6"/>
    <x v="2"/>
    <n v="68.2"/>
    <x v="214"/>
    <x v="28"/>
    <d v="2025-02-04T00:00:00"/>
    <s v="F"/>
    <x v="0"/>
    <x v="0"/>
    <x v="0"/>
    <x v="9"/>
    <x v="4"/>
    <x v="4"/>
    <x v="2"/>
  </r>
  <r>
    <s v="TX500655"/>
    <x v="10"/>
    <x v="7"/>
    <n v="24.3"/>
    <x v="596"/>
    <x v="28"/>
    <d v="2025-01-30T00:00:00"/>
    <s v="M"/>
    <x v="0"/>
    <x v="2"/>
    <x v="0"/>
    <x v="10"/>
    <x v="3"/>
    <x v="4"/>
    <x v="1"/>
  </r>
  <r>
    <s v="TX500656"/>
    <x v="7"/>
    <x v="1"/>
    <n v="86.8"/>
    <x v="597"/>
    <x v="28"/>
    <d v="2025-02-02T00:00:00"/>
    <s v="F"/>
    <x v="4"/>
    <x v="2"/>
    <x v="0"/>
    <x v="11"/>
    <x v="5"/>
    <x v="4"/>
    <x v="2"/>
  </r>
  <r>
    <s v="TX500657"/>
    <x v="0"/>
    <x v="1"/>
    <n v="15.8"/>
    <x v="35"/>
    <x v="28"/>
    <d v="2025-01-31T00:00:00"/>
    <s v="M"/>
    <x v="1"/>
    <x v="0"/>
    <x v="0"/>
    <x v="11"/>
    <x v="1"/>
    <x v="4"/>
    <x v="1"/>
  </r>
  <r>
    <s v="TX500658"/>
    <x v="2"/>
    <x v="12"/>
    <n v="61.6"/>
    <x v="598"/>
    <x v="28"/>
    <d v="2025-01-30T00:00:00"/>
    <s v="M"/>
    <x v="2"/>
    <x v="0"/>
    <x v="0"/>
    <x v="11"/>
    <x v="3"/>
    <x v="4"/>
    <x v="1"/>
  </r>
  <r>
    <s v="TX500659"/>
    <x v="6"/>
    <x v="2"/>
    <n v="48.7"/>
    <x v="599"/>
    <x v="28"/>
    <d v="2025-02-04T00:00:00"/>
    <s v="F"/>
    <x v="1"/>
    <x v="2"/>
    <x v="0"/>
    <x v="45"/>
    <x v="4"/>
    <x v="4"/>
    <x v="2"/>
  </r>
  <r>
    <s v="TX500660"/>
    <x v="8"/>
    <x v="12"/>
    <n v="24.3"/>
    <x v="451"/>
    <x v="28"/>
    <d v="2025-01-31T00:00:00"/>
    <s v="F"/>
    <x v="1"/>
    <x v="2"/>
    <x v="0"/>
    <x v="21"/>
    <x v="1"/>
    <x v="4"/>
    <x v="2"/>
  </r>
  <r>
    <s v="TX500661"/>
    <x v="2"/>
    <x v="1"/>
    <n v="130.69999999999999"/>
    <x v="600"/>
    <x v="28"/>
    <d v="2025-01-30T00:00:00"/>
    <s v="F"/>
    <x v="2"/>
    <x v="0"/>
    <x v="0"/>
    <x v="44"/>
    <x v="3"/>
    <x v="4"/>
    <x v="2"/>
  </r>
  <r>
    <s v="TX500662"/>
    <x v="10"/>
    <x v="0"/>
    <n v="26"/>
    <x v="601"/>
    <x v="28"/>
    <d v="2025-01-31T00:00:00"/>
    <s v="M"/>
    <x v="0"/>
    <x v="0"/>
    <x v="0"/>
    <x v="3"/>
    <x v="1"/>
    <x v="4"/>
    <x v="1"/>
  </r>
  <r>
    <s v="TX500663"/>
    <x v="2"/>
    <x v="9"/>
    <n v="94.4"/>
    <x v="602"/>
    <x v="28"/>
    <d v="2025-01-30T00:00:00"/>
    <s v="F"/>
    <x v="0"/>
    <x v="0"/>
    <x v="0"/>
    <x v="3"/>
    <x v="3"/>
    <x v="4"/>
    <x v="2"/>
  </r>
  <r>
    <s v="TX500664"/>
    <x v="0"/>
    <x v="13"/>
    <n v="23.7"/>
    <x v="60"/>
    <x v="28"/>
    <d v="2025-01-31T00:00:00"/>
    <s v="M"/>
    <x v="2"/>
    <x v="2"/>
    <x v="0"/>
    <x v="3"/>
    <x v="1"/>
    <x v="4"/>
    <x v="1"/>
  </r>
  <r>
    <s v="TX500665"/>
    <x v="9"/>
    <x v="4"/>
    <n v="37.4"/>
    <x v="603"/>
    <x v="28"/>
    <d v="2025-01-31T00:00:00"/>
    <s v="M"/>
    <x v="2"/>
    <x v="0"/>
    <x v="0"/>
    <x v="3"/>
    <x v="1"/>
    <x v="4"/>
    <x v="1"/>
  </r>
  <r>
    <s v="TX500666"/>
    <x v="1"/>
    <x v="34"/>
    <n v="55.2"/>
    <x v="604"/>
    <x v="28"/>
    <d v="2025-01-29T00:00:00"/>
    <s v="F"/>
    <x v="3"/>
    <x v="1"/>
    <x v="0"/>
    <x v="3"/>
    <x v="7"/>
    <x v="4"/>
    <x v="2"/>
  </r>
  <r>
    <s v="TX500667"/>
    <x v="2"/>
    <x v="11"/>
    <n v="57.1"/>
    <x v="605"/>
    <x v="28"/>
    <d v="2025-01-31T00:00:00"/>
    <s v="M"/>
    <x v="0"/>
    <x v="2"/>
    <x v="0"/>
    <x v="3"/>
    <x v="1"/>
    <x v="4"/>
    <x v="1"/>
  </r>
  <r>
    <s v="TX500668"/>
    <x v="12"/>
    <x v="0"/>
    <n v="55.3"/>
    <x v="6"/>
    <x v="28"/>
    <d v="2025-01-30T00:00:00"/>
    <s v="F"/>
    <x v="2"/>
    <x v="2"/>
    <x v="0"/>
    <x v="3"/>
    <x v="3"/>
    <x v="4"/>
    <x v="2"/>
  </r>
  <r>
    <s v="TX500669"/>
    <x v="15"/>
    <x v="3"/>
    <n v="23.9"/>
    <x v="606"/>
    <x v="28"/>
    <d v="2025-01-30T00:00:00"/>
    <s v="F"/>
    <x v="4"/>
    <x v="1"/>
    <x v="0"/>
    <x v="3"/>
    <x v="3"/>
    <x v="4"/>
    <x v="2"/>
  </r>
  <r>
    <s v="TX500670"/>
    <x v="0"/>
    <x v="0"/>
    <n v="34.1"/>
    <x v="607"/>
    <x v="28"/>
    <d v="2025-02-05T00:00:00"/>
    <s v="F"/>
    <x v="2"/>
    <x v="0"/>
    <x v="0"/>
    <x v="3"/>
    <x v="6"/>
    <x v="4"/>
    <x v="2"/>
  </r>
  <r>
    <s v="TX500671"/>
    <x v="12"/>
    <x v="12"/>
    <n v="38.5"/>
    <x v="608"/>
    <x v="28"/>
    <d v="2025-02-09T00:00:00"/>
    <s v="F"/>
    <x v="0"/>
    <x v="0"/>
    <x v="0"/>
    <x v="3"/>
    <x v="11"/>
    <x v="4"/>
    <x v="2"/>
  </r>
  <r>
    <s v="TX500672"/>
    <x v="7"/>
    <x v="1"/>
    <n v="105"/>
    <x v="609"/>
    <x v="28"/>
    <d v="2025-02-04T00:00:00"/>
    <s v="F"/>
    <x v="0"/>
    <x v="2"/>
    <x v="0"/>
    <x v="3"/>
    <x v="4"/>
    <x v="4"/>
    <x v="2"/>
  </r>
  <r>
    <s v="TX500673"/>
    <x v="8"/>
    <x v="9"/>
    <n v="45.2"/>
    <x v="326"/>
    <x v="28"/>
    <d v="2025-01-31T00:00:00"/>
    <s v="F"/>
    <x v="0"/>
    <x v="2"/>
    <x v="0"/>
    <x v="3"/>
    <x v="1"/>
    <x v="4"/>
    <x v="2"/>
  </r>
  <r>
    <s v="TX500674"/>
    <x v="17"/>
    <x v="2"/>
    <n v="24.8"/>
    <x v="610"/>
    <x v="28"/>
    <d v="2025-01-29T00:00:00"/>
    <s v=""/>
    <x v="0"/>
    <x v="1"/>
    <x v="0"/>
    <x v="3"/>
    <x v="7"/>
    <x v="4"/>
    <x v="0"/>
  </r>
  <r>
    <s v="TX500675"/>
    <x v="11"/>
    <x v="12"/>
    <n v="43.8"/>
    <x v="122"/>
    <x v="28"/>
    <d v="2025-02-05T00:00:00"/>
    <s v="F"/>
    <x v="1"/>
    <x v="2"/>
    <x v="0"/>
    <x v="6"/>
    <x v="6"/>
    <x v="4"/>
    <x v="2"/>
  </r>
  <r>
    <s v="TX500676"/>
    <x v="1"/>
    <x v="0"/>
    <n v="75"/>
    <x v="611"/>
    <x v="28"/>
    <d v="2025-01-31T00:00:00"/>
    <s v="F"/>
    <x v="4"/>
    <x v="1"/>
    <x v="0"/>
    <x v="6"/>
    <x v="1"/>
    <x v="4"/>
    <x v="2"/>
  </r>
  <r>
    <s v="TX500677"/>
    <x v="2"/>
    <x v="0"/>
    <n v="169.9"/>
    <x v="612"/>
    <x v="28"/>
    <d v="2025-01-30T00:00:00"/>
    <s v="M"/>
    <x v="2"/>
    <x v="0"/>
    <x v="0"/>
    <x v="6"/>
    <x v="3"/>
    <x v="4"/>
    <x v="1"/>
  </r>
  <r>
    <s v="TX500678"/>
    <x v="9"/>
    <x v="1"/>
    <n v="72.2"/>
    <x v="613"/>
    <x v="28"/>
    <d v="2025-01-31T00:00:00"/>
    <s v="F"/>
    <x v="4"/>
    <x v="1"/>
    <x v="0"/>
    <x v="6"/>
    <x v="1"/>
    <x v="4"/>
    <x v="2"/>
  </r>
  <r>
    <s v="TX500679"/>
    <x v="0"/>
    <x v="0"/>
    <n v="20"/>
    <x v="614"/>
    <x v="29"/>
    <d v="2025-02-02T00:00:00"/>
    <s v="F"/>
    <x v="2"/>
    <x v="1"/>
    <x v="0"/>
    <x v="7"/>
    <x v="2"/>
    <x v="4"/>
    <x v="2"/>
  </r>
  <r>
    <s v="TX500680"/>
    <x v="9"/>
    <x v="1"/>
    <n v="40.799999999999997"/>
    <x v="330"/>
    <x v="29"/>
    <d v="2025-02-01T00:00:00"/>
    <s v="F"/>
    <x v="3"/>
    <x v="2"/>
    <x v="0"/>
    <x v="8"/>
    <x v="1"/>
    <x v="4"/>
    <x v="2"/>
  </r>
  <r>
    <s v="TX500681"/>
    <x v="10"/>
    <x v="12"/>
    <n v="58"/>
    <x v="615"/>
    <x v="29"/>
    <d v="2025-02-03T00:00:00"/>
    <s v="F"/>
    <x v="0"/>
    <x v="0"/>
    <x v="0"/>
    <x v="8"/>
    <x v="5"/>
    <x v="4"/>
    <x v="2"/>
  </r>
  <r>
    <s v="TX500682"/>
    <x v="12"/>
    <x v="1"/>
    <n v="43.1"/>
    <x v="616"/>
    <x v="29"/>
    <d v="2025-01-31T00:00:00"/>
    <s v="F"/>
    <x v="1"/>
    <x v="2"/>
    <x v="0"/>
    <x v="8"/>
    <x v="3"/>
    <x v="4"/>
    <x v="2"/>
  </r>
  <r>
    <s v="TX500683"/>
    <x v="6"/>
    <x v="11"/>
    <n v="74.7"/>
    <x v="617"/>
    <x v="29"/>
    <d v="2025-02-01T00:00:00"/>
    <s v="M"/>
    <x v="0"/>
    <x v="2"/>
    <x v="0"/>
    <x v="8"/>
    <x v="1"/>
    <x v="4"/>
    <x v="1"/>
  </r>
  <r>
    <s v="TX500684"/>
    <x v="6"/>
    <x v="0"/>
    <n v="128.19999999999999"/>
    <x v="618"/>
    <x v="29"/>
    <d v="2025-01-30T00:00:00"/>
    <s v="M"/>
    <x v="1"/>
    <x v="0"/>
    <x v="0"/>
    <x v="8"/>
    <x v="7"/>
    <x v="4"/>
    <x v="1"/>
  </r>
  <r>
    <s v="TX500685"/>
    <x v="14"/>
    <x v="12"/>
    <n v="26.7"/>
    <x v="619"/>
    <x v="29"/>
    <d v="2025-01-31T00:00:00"/>
    <s v="M"/>
    <x v="1"/>
    <x v="0"/>
    <x v="0"/>
    <x v="8"/>
    <x v="3"/>
    <x v="4"/>
    <x v="1"/>
  </r>
  <r>
    <s v="TX500686"/>
    <x v="17"/>
    <x v="13"/>
    <n v="31.5"/>
    <x v="620"/>
    <x v="29"/>
    <d v="2025-01-31T00:00:00"/>
    <s v="F"/>
    <x v="2"/>
    <x v="0"/>
    <x v="0"/>
    <x v="17"/>
    <x v="3"/>
    <x v="4"/>
    <x v="2"/>
  </r>
  <r>
    <s v="TX500687"/>
    <x v="3"/>
    <x v="3"/>
    <n v="64.7"/>
    <x v="621"/>
    <x v="29"/>
    <d v="2025-01-31T00:00:00"/>
    <s v="F"/>
    <x v="0"/>
    <x v="2"/>
    <x v="0"/>
    <x v="9"/>
    <x v="3"/>
    <x v="4"/>
    <x v="2"/>
  </r>
  <r>
    <s v="TX500688"/>
    <x v="5"/>
    <x v="1"/>
    <n v="55.6"/>
    <x v="622"/>
    <x v="29"/>
    <d v="2025-02-02T00:00:00"/>
    <s v="F"/>
    <x v="3"/>
    <x v="0"/>
    <x v="0"/>
    <x v="11"/>
    <x v="2"/>
    <x v="4"/>
    <x v="2"/>
  </r>
  <r>
    <s v="TX500689"/>
    <x v="3"/>
    <x v="1"/>
    <n v="36.200000000000003"/>
    <x v="623"/>
    <x v="29"/>
    <d v="2025-01-31T00:00:00"/>
    <s v="F"/>
    <x v="3"/>
    <x v="0"/>
    <x v="0"/>
    <x v="11"/>
    <x v="3"/>
    <x v="4"/>
    <x v="2"/>
  </r>
  <r>
    <s v="TX500690"/>
    <x v="0"/>
    <x v="0"/>
    <n v="26.6"/>
    <x v="534"/>
    <x v="29"/>
    <d v="2025-01-31T00:00:00"/>
    <s v=""/>
    <x v="1"/>
    <x v="1"/>
    <x v="0"/>
    <x v="19"/>
    <x v="3"/>
    <x v="4"/>
    <x v="0"/>
  </r>
  <r>
    <s v="TX500691"/>
    <x v="10"/>
    <x v="12"/>
    <n v="31.5"/>
    <x v="624"/>
    <x v="29"/>
    <d v="2025-02-01T00:00:00"/>
    <s v="M"/>
    <x v="0"/>
    <x v="0"/>
    <x v="0"/>
    <x v="31"/>
    <x v="1"/>
    <x v="4"/>
    <x v="1"/>
  </r>
  <r>
    <s v="TX500692"/>
    <x v="10"/>
    <x v="0"/>
    <n v="27"/>
    <x v="49"/>
    <x v="29"/>
    <d v="2025-02-01T00:00:00"/>
    <s v="F"/>
    <x v="1"/>
    <x v="2"/>
    <x v="0"/>
    <x v="13"/>
    <x v="1"/>
    <x v="4"/>
    <x v="2"/>
  </r>
  <r>
    <s v="TX500693"/>
    <x v="4"/>
    <x v="0"/>
    <n v="32"/>
    <x v="109"/>
    <x v="29"/>
    <d v="2025-02-02T00:00:00"/>
    <s v="M"/>
    <x v="3"/>
    <x v="0"/>
    <x v="0"/>
    <x v="21"/>
    <x v="2"/>
    <x v="4"/>
    <x v="1"/>
  </r>
  <r>
    <s v="TX500694"/>
    <x v="1"/>
    <x v="2"/>
    <n v="48.1"/>
    <x v="625"/>
    <x v="29"/>
    <d v="2025-02-01T00:00:00"/>
    <s v="M"/>
    <x v="2"/>
    <x v="1"/>
    <x v="0"/>
    <x v="1"/>
    <x v="1"/>
    <x v="4"/>
    <x v="1"/>
  </r>
  <r>
    <s v="TX500695"/>
    <x v="9"/>
    <x v="1"/>
    <n v="43.4"/>
    <x v="626"/>
    <x v="29"/>
    <d v="2025-01-31T00:00:00"/>
    <s v="M"/>
    <x v="1"/>
    <x v="1"/>
    <x v="0"/>
    <x v="22"/>
    <x v="3"/>
    <x v="4"/>
    <x v="1"/>
  </r>
  <r>
    <s v="TX500696"/>
    <x v="6"/>
    <x v="1"/>
    <n v="42.6"/>
    <x v="464"/>
    <x v="29"/>
    <d v="2025-02-02T00:00:00"/>
    <s v="F"/>
    <x v="3"/>
    <x v="0"/>
    <x v="0"/>
    <x v="22"/>
    <x v="2"/>
    <x v="4"/>
    <x v="2"/>
  </r>
  <r>
    <s v="TX500697"/>
    <x v="8"/>
    <x v="1"/>
    <n v="15.9"/>
    <x v="627"/>
    <x v="29"/>
    <d v="2025-01-31T00:00:00"/>
    <s v="F"/>
    <x v="0"/>
    <x v="0"/>
    <x v="0"/>
    <x v="34"/>
    <x v="3"/>
    <x v="4"/>
    <x v="2"/>
  </r>
  <r>
    <s v="TX500698"/>
    <x v="9"/>
    <x v="1"/>
    <n v="63.2"/>
    <x v="628"/>
    <x v="29"/>
    <d v="2025-01-31T00:00:00"/>
    <s v="M"/>
    <x v="1"/>
    <x v="0"/>
    <x v="0"/>
    <x v="3"/>
    <x v="3"/>
    <x v="4"/>
    <x v="1"/>
  </r>
  <r>
    <s v="TX500699"/>
    <x v="7"/>
    <x v="12"/>
    <n v="64.8"/>
    <x v="629"/>
    <x v="29"/>
    <d v="2025-02-01T00:00:00"/>
    <s v=""/>
    <x v="4"/>
    <x v="1"/>
    <x v="0"/>
    <x v="3"/>
    <x v="1"/>
    <x v="4"/>
    <x v="0"/>
  </r>
  <r>
    <s v="TX500700"/>
    <x v="7"/>
    <x v="2"/>
    <n v="79.8"/>
    <x v="342"/>
    <x v="29"/>
    <d v="2025-01-31T00:00:00"/>
    <s v="M"/>
    <x v="0"/>
    <x v="0"/>
    <x v="0"/>
    <x v="3"/>
    <x v="3"/>
    <x v="4"/>
    <x v="1"/>
  </r>
  <r>
    <s v="TX500701"/>
    <x v="9"/>
    <x v="0"/>
    <n v="54.4"/>
    <x v="630"/>
    <x v="29"/>
    <d v="2025-02-01T00:00:00"/>
    <s v="F"/>
    <x v="4"/>
    <x v="2"/>
    <x v="0"/>
    <x v="3"/>
    <x v="1"/>
    <x v="4"/>
    <x v="2"/>
  </r>
  <r>
    <s v="TX500702"/>
    <x v="6"/>
    <x v="0"/>
    <n v="87.3"/>
    <x v="631"/>
    <x v="29"/>
    <d v="2025-01-31T00:00:00"/>
    <s v="M"/>
    <x v="1"/>
    <x v="0"/>
    <x v="0"/>
    <x v="3"/>
    <x v="3"/>
    <x v="4"/>
    <x v="1"/>
  </r>
  <r>
    <s v="TX500703"/>
    <x v="8"/>
    <x v="12"/>
    <n v="32.4"/>
    <x v="632"/>
    <x v="29"/>
    <d v="2025-01-30T00:00:00"/>
    <s v="M"/>
    <x v="1"/>
    <x v="0"/>
    <x v="0"/>
    <x v="3"/>
    <x v="7"/>
    <x v="4"/>
    <x v="1"/>
  </r>
  <r>
    <s v="TX500704"/>
    <x v="2"/>
    <x v="0"/>
    <n v="177.4"/>
    <x v="633"/>
    <x v="29"/>
    <d v="2025-02-03T00:00:00"/>
    <s v="M"/>
    <x v="0"/>
    <x v="2"/>
    <x v="0"/>
    <x v="3"/>
    <x v="5"/>
    <x v="4"/>
    <x v="1"/>
  </r>
  <r>
    <s v="TX500705"/>
    <x v="7"/>
    <x v="1"/>
    <n v="70.099999999999994"/>
    <x v="634"/>
    <x v="29"/>
    <d v="2025-01-31T00:00:00"/>
    <s v="M"/>
    <x v="3"/>
    <x v="1"/>
    <x v="0"/>
    <x v="3"/>
    <x v="3"/>
    <x v="4"/>
    <x v="1"/>
  </r>
  <r>
    <s v="TX500706"/>
    <x v="9"/>
    <x v="13"/>
    <n v="51.1"/>
    <x v="567"/>
    <x v="29"/>
    <d v="2025-01-31T00:00:00"/>
    <s v="F"/>
    <x v="0"/>
    <x v="0"/>
    <x v="0"/>
    <x v="3"/>
    <x v="3"/>
    <x v="4"/>
    <x v="2"/>
  </r>
  <r>
    <s v="TX500707"/>
    <x v="2"/>
    <x v="9"/>
    <n v="79.900000000000006"/>
    <x v="635"/>
    <x v="29"/>
    <d v="2025-02-01T00:00:00"/>
    <s v="M"/>
    <x v="3"/>
    <x v="2"/>
    <x v="0"/>
    <x v="24"/>
    <x v="1"/>
    <x v="4"/>
    <x v="1"/>
  </r>
  <r>
    <s v="TX500708"/>
    <x v="6"/>
    <x v="0"/>
    <n v="57.6"/>
    <x v="636"/>
    <x v="30"/>
    <d v="2025-02-05T00:00:00"/>
    <s v="M"/>
    <x v="0"/>
    <x v="2"/>
    <x v="0"/>
    <x v="49"/>
    <x v="0"/>
    <x v="4"/>
    <x v="1"/>
  </r>
  <r>
    <s v="TX500709"/>
    <x v="8"/>
    <x v="7"/>
    <n v="59.7"/>
    <x v="637"/>
    <x v="30"/>
    <d v="2025-02-04T00:00:00"/>
    <s v="M"/>
    <x v="2"/>
    <x v="0"/>
    <x v="0"/>
    <x v="25"/>
    <x v="5"/>
    <x v="4"/>
    <x v="1"/>
  </r>
  <r>
    <s v="TX500710"/>
    <x v="8"/>
    <x v="9"/>
    <n v="30"/>
    <x v="638"/>
    <x v="30"/>
    <d v="2025-02-02T00:00:00"/>
    <s v="M"/>
    <x v="1"/>
    <x v="0"/>
    <x v="0"/>
    <x v="6"/>
    <x v="1"/>
    <x v="4"/>
    <x v="1"/>
  </r>
  <r>
    <s v="TX500711"/>
    <x v="10"/>
    <x v="1"/>
    <n v="69.2"/>
    <x v="639"/>
    <x v="30"/>
    <d v="2025-02-02T00:00:00"/>
    <s v=""/>
    <x v="2"/>
    <x v="1"/>
    <x v="0"/>
    <x v="6"/>
    <x v="1"/>
    <x v="4"/>
    <x v="0"/>
  </r>
  <r>
    <s v="TX500712"/>
    <x v="0"/>
    <x v="8"/>
    <n v="10.9"/>
    <x v="640"/>
    <x v="30"/>
    <d v="2025-02-01T00:00:00"/>
    <s v="F"/>
    <x v="0"/>
    <x v="2"/>
    <x v="0"/>
    <x v="6"/>
    <x v="3"/>
    <x v="4"/>
    <x v="2"/>
  </r>
  <r>
    <s v="TX500713"/>
    <x v="16"/>
    <x v="1"/>
    <n v="48.6"/>
    <x v="451"/>
    <x v="30"/>
    <d v="2025-02-04T00:00:00"/>
    <s v="M"/>
    <x v="1"/>
    <x v="2"/>
    <x v="0"/>
    <x v="6"/>
    <x v="5"/>
    <x v="4"/>
    <x v="1"/>
  </r>
  <r>
    <s v="TX500714"/>
    <x v="2"/>
    <x v="1"/>
    <n v="61.1"/>
    <x v="641"/>
    <x v="30"/>
    <d v="2025-02-03T00:00:00"/>
    <s v="F"/>
    <x v="1"/>
    <x v="2"/>
    <x v="0"/>
    <x v="7"/>
    <x v="2"/>
    <x v="4"/>
    <x v="2"/>
  </r>
  <r>
    <s v="TX500715"/>
    <x v="8"/>
    <x v="1"/>
    <n v="23.2"/>
    <x v="434"/>
    <x v="30"/>
    <d v="2025-02-01T00:00:00"/>
    <s v="M"/>
    <x v="3"/>
    <x v="2"/>
    <x v="0"/>
    <x v="8"/>
    <x v="3"/>
    <x v="4"/>
    <x v="1"/>
  </r>
  <r>
    <s v="TX500716"/>
    <x v="12"/>
    <x v="12"/>
    <n v="55.8"/>
    <x v="642"/>
    <x v="30"/>
    <d v="2025-02-01T00:00:00"/>
    <s v="M"/>
    <x v="0"/>
    <x v="0"/>
    <x v="0"/>
    <x v="8"/>
    <x v="3"/>
    <x v="4"/>
    <x v="1"/>
  </r>
  <r>
    <s v="TX500717"/>
    <x v="9"/>
    <x v="12"/>
    <n v="24.8"/>
    <x v="643"/>
    <x v="30"/>
    <d v="2025-02-01T00:00:00"/>
    <s v="F"/>
    <x v="0"/>
    <x v="2"/>
    <x v="0"/>
    <x v="8"/>
    <x v="3"/>
    <x v="4"/>
    <x v="2"/>
  </r>
  <r>
    <s v="TX500718"/>
    <x v="10"/>
    <x v="1"/>
    <n v="27.9"/>
    <x v="391"/>
    <x v="30"/>
    <d v="2025-01-31T00:00:00"/>
    <s v="M"/>
    <x v="2"/>
    <x v="2"/>
    <x v="0"/>
    <x v="8"/>
    <x v="7"/>
    <x v="4"/>
    <x v="1"/>
  </r>
  <r>
    <s v="TX500719"/>
    <x v="10"/>
    <x v="13"/>
    <n v="51.1"/>
    <x v="567"/>
    <x v="30"/>
    <d v="2025-01-31T00:00:00"/>
    <s v="F"/>
    <x v="3"/>
    <x v="0"/>
    <x v="0"/>
    <x v="8"/>
    <x v="7"/>
    <x v="4"/>
    <x v="2"/>
  </r>
  <r>
    <s v="TX500720"/>
    <x v="17"/>
    <x v="5"/>
    <n v="32.700000000000003"/>
    <x v="644"/>
    <x v="30"/>
    <d v="2025-02-01T00:00:00"/>
    <s v="M"/>
    <x v="4"/>
    <x v="2"/>
    <x v="0"/>
    <x v="17"/>
    <x v="3"/>
    <x v="4"/>
    <x v="1"/>
  </r>
  <r>
    <s v="TX500721"/>
    <x v="8"/>
    <x v="12"/>
    <n v="22.5"/>
    <x v="645"/>
    <x v="30"/>
    <d v="2025-01-31T00:00:00"/>
    <s v="M"/>
    <x v="0"/>
    <x v="2"/>
    <x v="0"/>
    <x v="26"/>
    <x v="7"/>
    <x v="4"/>
    <x v="1"/>
  </r>
  <r>
    <s v="TX500722"/>
    <x v="0"/>
    <x v="3"/>
    <n v="14.6"/>
    <x v="646"/>
    <x v="30"/>
    <d v="2025-02-01T00:00:00"/>
    <s v="F"/>
    <x v="2"/>
    <x v="0"/>
    <x v="0"/>
    <x v="41"/>
    <x v="3"/>
    <x v="4"/>
    <x v="2"/>
  </r>
  <r>
    <s v="TX500723"/>
    <x v="5"/>
    <x v="2"/>
    <n v="32.5"/>
    <x v="647"/>
    <x v="30"/>
    <d v="2025-02-03T00:00:00"/>
    <s v="M"/>
    <x v="0"/>
    <x v="0"/>
    <x v="0"/>
    <x v="10"/>
    <x v="2"/>
    <x v="4"/>
    <x v="1"/>
  </r>
  <r>
    <s v="TX500724"/>
    <x v="18"/>
    <x v="0"/>
    <n v="78.099999999999994"/>
    <x v="648"/>
    <x v="30"/>
    <d v="2025-02-03T00:00:00"/>
    <s v="M"/>
    <x v="0"/>
    <x v="2"/>
    <x v="0"/>
    <x v="11"/>
    <x v="2"/>
    <x v="4"/>
    <x v="1"/>
  </r>
  <r>
    <s v="TX500725"/>
    <x v="12"/>
    <x v="13"/>
    <n v="110.2"/>
    <x v="649"/>
    <x v="30"/>
    <d v="2025-01-31T00:00:00"/>
    <s v="M"/>
    <x v="1"/>
    <x v="4"/>
    <x v="0"/>
    <x v="13"/>
    <x v="7"/>
    <x v="4"/>
    <x v="1"/>
  </r>
  <r>
    <s v="TX500726"/>
    <x v="6"/>
    <x v="2"/>
    <n v="86.3"/>
    <x v="650"/>
    <x v="30"/>
    <d v="2025-02-02T00:00:00"/>
    <s v="F"/>
    <x v="3"/>
    <x v="0"/>
    <x v="0"/>
    <x v="21"/>
    <x v="1"/>
    <x v="4"/>
    <x v="2"/>
  </r>
  <r>
    <s v="TX500727"/>
    <x v="1"/>
    <x v="13"/>
    <n v="73.599999999999994"/>
    <x v="651"/>
    <x v="30"/>
    <d v="2025-02-02T00:00:00"/>
    <s v="O"/>
    <x v="3"/>
    <x v="4"/>
    <x v="0"/>
    <x v="44"/>
    <x v="1"/>
    <x v="4"/>
    <x v="3"/>
  </r>
  <r>
    <s v="TX500728"/>
    <x v="6"/>
    <x v="15"/>
    <n v="67.7"/>
    <x v="652"/>
    <x v="30"/>
    <d v="2025-02-02T00:00:00"/>
    <s v="F"/>
    <x v="0"/>
    <x v="2"/>
    <x v="0"/>
    <x v="3"/>
    <x v="1"/>
    <x v="4"/>
    <x v="2"/>
  </r>
  <r>
    <s v="TX500729"/>
    <x v="7"/>
    <x v="13"/>
    <n v="142.19999999999999"/>
    <x v="653"/>
    <x v="30"/>
    <d v="2025-02-01T00:00:00"/>
    <s v="F"/>
    <x v="2"/>
    <x v="4"/>
    <x v="0"/>
    <x v="3"/>
    <x v="3"/>
    <x v="4"/>
    <x v="2"/>
  </r>
  <r>
    <s v="TX500730"/>
    <x v="1"/>
    <x v="11"/>
    <n v="45.8"/>
    <x v="654"/>
    <x v="30"/>
    <d v="2025-02-02T00:00:00"/>
    <s v="F"/>
    <x v="1"/>
    <x v="2"/>
    <x v="0"/>
    <x v="3"/>
    <x v="1"/>
    <x v="4"/>
    <x v="2"/>
  </r>
  <r>
    <s v="TX500731"/>
    <x v="10"/>
    <x v="1"/>
    <n v="24.2"/>
    <x v="655"/>
    <x v="31"/>
    <d v="2025-02-04T00:00:00"/>
    <s v="F"/>
    <x v="3"/>
    <x v="2"/>
    <x v="0"/>
    <x v="3"/>
    <x v="2"/>
    <x v="4"/>
    <x v="2"/>
  </r>
  <r>
    <s v="TX500732"/>
    <x v="2"/>
    <x v="2"/>
    <n v="144.9"/>
    <x v="656"/>
    <x v="31"/>
    <d v="2025-02-02T00:00:00"/>
    <s v="O"/>
    <x v="2"/>
    <x v="2"/>
    <x v="0"/>
    <x v="3"/>
    <x v="3"/>
    <x v="4"/>
    <x v="3"/>
  </r>
  <r>
    <s v="TX500733"/>
    <x v="11"/>
    <x v="9"/>
    <n v="32.799999999999997"/>
    <x v="657"/>
    <x v="31"/>
    <d v="2025-02-04T00:00:00"/>
    <s v="F"/>
    <x v="2"/>
    <x v="0"/>
    <x v="0"/>
    <x v="23"/>
    <x v="2"/>
    <x v="4"/>
    <x v="2"/>
  </r>
  <r>
    <s v="TX500734"/>
    <x v="7"/>
    <x v="7"/>
    <n v="35.700000000000003"/>
    <x v="658"/>
    <x v="31"/>
    <d v="2025-02-01T00:00:00"/>
    <s v="F"/>
    <x v="0"/>
    <x v="1"/>
    <x v="0"/>
    <x v="6"/>
    <x v="7"/>
    <x v="4"/>
    <x v="2"/>
  </r>
  <r>
    <s v="TX500735"/>
    <x v="9"/>
    <x v="1"/>
    <n v="54.6"/>
    <x v="659"/>
    <x v="31"/>
    <d v="2025-02-02T00:00:00"/>
    <s v="F"/>
    <x v="2"/>
    <x v="0"/>
    <x v="0"/>
    <x v="6"/>
    <x v="3"/>
    <x v="4"/>
    <x v="2"/>
  </r>
  <r>
    <s v="TX500736"/>
    <x v="8"/>
    <x v="1"/>
    <n v="35.700000000000003"/>
    <x v="660"/>
    <x v="31"/>
    <d v="2025-02-04T00:00:00"/>
    <s v=""/>
    <x v="0"/>
    <x v="1"/>
    <x v="0"/>
    <x v="6"/>
    <x v="2"/>
    <x v="4"/>
    <x v="0"/>
  </r>
  <r>
    <s v="TX500737"/>
    <x v="10"/>
    <x v="1"/>
    <n v="52.4"/>
    <x v="661"/>
    <x v="31"/>
    <d v="2025-02-01T00:00:00"/>
    <s v="F"/>
    <x v="0"/>
    <x v="3"/>
    <x v="0"/>
    <x v="6"/>
    <x v="7"/>
    <x v="4"/>
    <x v="2"/>
  </r>
  <r>
    <s v="TX500738"/>
    <x v="8"/>
    <x v="21"/>
    <n v="16.2"/>
    <x v="662"/>
    <x v="31"/>
    <d v="2025-02-02T00:00:00"/>
    <s v=""/>
    <x v="0"/>
    <x v="1"/>
    <x v="0"/>
    <x v="8"/>
    <x v="3"/>
    <x v="4"/>
    <x v="0"/>
  </r>
  <r>
    <s v="TX500739"/>
    <x v="6"/>
    <x v="35"/>
    <n v="42.8"/>
    <x v="663"/>
    <x v="31"/>
    <d v="2025-02-02T00:00:00"/>
    <s v="F"/>
    <x v="0"/>
    <x v="0"/>
    <x v="0"/>
    <x v="8"/>
    <x v="3"/>
    <x v="4"/>
    <x v="2"/>
  </r>
  <r>
    <s v="TX500740"/>
    <x v="6"/>
    <x v="11"/>
    <n v="144.4"/>
    <x v="664"/>
    <x v="31"/>
    <d v="2025-02-04T00:00:00"/>
    <s v="F"/>
    <x v="4"/>
    <x v="0"/>
    <x v="0"/>
    <x v="8"/>
    <x v="2"/>
    <x v="4"/>
    <x v="2"/>
  </r>
  <r>
    <s v="TX500741"/>
    <x v="3"/>
    <x v="34"/>
    <n v="30.6"/>
    <x v="665"/>
    <x v="31"/>
    <d v="2025-02-05T00:00:00"/>
    <s v="F"/>
    <x v="2"/>
    <x v="2"/>
    <x v="0"/>
    <x v="11"/>
    <x v="5"/>
    <x v="4"/>
    <x v="2"/>
  </r>
  <r>
    <s v="TX500742"/>
    <x v="2"/>
    <x v="1"/>
    <n v="117.5"/>
    <x v="666"/>
    <x v="31"/>
    <d v="2025-02-02T00:00:00"/>
    <s v="M"/>
    <x v="0"/>
    <x v="0"/>
    <x v="0"/>
    <x v="19"/>
    <x v="3"/>
    <x v="4"/>
    <x v="1"/>
  </r>
  <r>
    <s v="TX500743"/>
    <x v="6"/>
    <x v="1"/>
    <n v="105.7"/>
    <x v="667"/>
    <x v="31"/>
    <d v="2025-02-02T00:00:00"/>
    <s v="F"/>
    <x v="2"/>
    <x v="2"/>
    <x v="0"/>
    <x v="21"/>
    <x v="3"/>
    <x v="4"/>
    <x v="2"/>
  </r>
  <r>
    <s v="TX500744"/>
    <x v="3"/>
    <x v="2"/>
    <n v="133.69999999999999"/>
    <x v="668"/>
    <x v="31"/>
    <d v="2025-02-02T00:00:00"/>
    <s v=""/>
    <x v="4"/>
    <x v="2"/>
    <x v="0"/>
    <x v="21"/>
    <x v="3"/>
    <x v="4"/>
    <x v="0"/>
  </r>
  <r>
    <s v="TX500745"/>
    <x v="4"/>
    <x v="9"/>
    <n v="46.8"/>
    <x v="540"/>
    <x v="32"/>
    <d v="2025-02-10T00:00:00"/>
    <s v="F"/>
    <x v="0"/>
    <x v="1"/>
    <x v="0"/>
    <x v="21"/>
    <x v="9"/>
    <x v="5"/>
    <x v="2"/>
  </r>
  <r>
    <s v="TX500746"/>
    <x v="10"/>
    <x v="2"/>
    <n v="58.4"/>
    <x v="122"/>
    <x v="32"/>
    <d v="2025-02-04T00:00:00"/>
    <s v="F"/>
    <x v="0"/>
    <x v="0"/>
    <x v="0"/>
    <x v="1"/>
    <x v="1"/>
    <x v="5"/>
    <x v="2"/>
  </r>
  <r>
    <s v="TX500747"/>
    <x v="6"/>
    <x v="11"/>
    <n v="65.099999999999994"/>
    <x v="669"/>
    <x v="32"/>
    <d v="2025-02-06T00:00:00"/>
    <s v="M"/>
    <x v="1"/>
    <x v="2"/>
    <x v="0"/>
    <x v="22"/>
    <x v="5"/>
    <x v="5"/>
    <x v="1"/>
  </r>
  <r>
    <s v="TX500748"/>
    <x v="8"/>
    <x v="0"/>
    <n v="18.600000000000001"/>
    <x v="670"/>
    <x v="32"/>
    <d v="2025-02-05T00:00:00"/>
    <s v="F"/>
    <x v="0"/>
    <x v="4"/>
    <x v="0"/>
    <x v="22"/>
    <x v="2"/>
    <x v="5"/>
    <x v="2"/>
  </r>
  <r>
    <s v="TX500749"/>
    <x v="1"/>
    <x v="5"/>
    <n v="92.3"/>
    <x v="671"/>
    <x v="32"/>
    <d v="2025-02-04T00:00:00"/>
    <s v="M"/>
    <x v="1"/>
    <x v="0"/>
    <x v="0"/>
    <x v="3"/>
    <x v="1"/>
    <x v="5"/>
    <x v="1"/>
  </r>
  <r>
    <s v="TX500750"/>
    <x v="6"/>
    <x v="2"/>
    <n v="81.7"/>
    <x v="672"/>
    <x v="32"/>
    <d v="2025-02-03T00:00:00"/>
    <s v=""/>
    <x v="4"/>
    <x v="4"/>
    <x v="0"/>
    <x v="3"/>
    <x v="3"/>
    <x v="5"/>
    <x v="0"/>
  </r>
  <r>
    <s v="TX500751"/>
    <x v="8"/>
    <x v="1"/>
    <n v="40.9"/>
    <x v="673"/>
    <x v="32"/>
    <d v="2025-02-04T00:00:00"/>
    <s v="M"/>
    <x v="0"/>
    <x v="1"/>
    <x v="0"/>
    <x v="3"/>
    <x v="1"/>
    <x v="5"/>
    <x v="1"/>
  </r>
  <r>
    <s v="TX500752"/>
    <x v="6"/>
    <x v="12"/>
    <n v="43.2"/>
    <x v="162"/>
    <x v="32"/>
    <d v="2025-02-08T00:00:00"/>
    <s v="F"/>
    <x v="0"/>
    <x v="1"/>
    <x v="0"/>
    <x v="3"/>
    <x v="4"/>
    <x v="5"/>
    <x v="2"/>
  </r>
  <r>
    <s v="TX500753"/>
    <x v="8"/>
    <x v="5"/>
    <n v="25.8"/>
    <x v="674"/>
    <x v="32"/>
    <d v="2025-02-05T00:00:00"/>
    <s v="M"/>
    <x v="2"/>
    <x v="1"/>
    <x v="0"/>
    <x v="3"/>
    <x v="2"/>
    <x v="5"/>
    <x v="1"/>
  </r>
  <r>
    <s v="TX500754"/>
    <x v="15"/>
    <x v="12"/>
    <n v="36.4"/>
    <x v="675"/>
    <x v="32"/>
    <d v="2025-02-03T00:00:00"/>
    <s v="M"/>
    <x v="0"/>
    <x v="0"/>
    <x v="0"/>
    <x v="3"/>
    <x v="3"/>
    <x v="5"/>
    <x v="1"/>
  </r>
  <r>
    <s v="TX500755"/>
    <x v="10"/>
    <x v="0"/>
    <n v="59.1"/>
    <x v="676"/>
    <x v="32"/>
    <d v="2025-02-03T00:00:00"/>
    <s v="F"/>
    <x v="2"/>
    <x v="0"/>
    <x v="0"/>
    <x v="7"/>
    <x v="3"/>
    <x v="5"/>
    <x v="2"/>
  </r>
  <r>
    <s v="TX500756"/>
    <x v="2"/>
    <x v="14"/>
    <n v="74.5"/>
    <x v="677"/>
    <x v="32"/>
    <d v="2025-02-04T00:00:00"/>
    <s v="M"/>
    <x v="4"/>
    <x v="0"/>
    <x v="0"/>
    <x v="18"/>
    <x v="1"/>
    <x v="5"/>
    <x v="1"/>
  </r>
  <r>
    <s v="TX500757"/>
    <x v="5"/>
    <x v="0"/>
    <n v="72.8"/>
    <x v="236"/>
    <x v="32"/>
    <d v="2025-02-03T00:00:00"/>
    <s v="F"/>
    <x v="0"/>
    <x v="1"/>
    <x v="0"/>
    <x v="19"/>
    <x v="3"/>
    <x v="5"/>
    <x v="2"/>
  </r>
  <r>
    <s v="TX500758"/>
    <x v="6"/>
    <x v="12"/>
    <n v="137.30000000000001"/>
    <x v="678"/>
    <x v="32"/>
    <d v="2025-02-05T00:00:00"/>
    <s v="F"/>
    <x v="0"/>
    <x v="0"/>
    <x v="0"/>
    <x v="13"/>
    <x v="2"/>
    <x v="5"/>
    <x v="2"/>
  </r>
  <r>
    <s v="TX500759"/>
    <x v="1"/>
    <x v="2"/>
    <n v="48.7"/>
    <x v="599"/>
    <x v="32"/>
    <d v="2025-02-07T00:00:00"/>
    <s v="F"/>
    <x v="0"/>
    <x v="1"/>
    <x v="0"/>
    <x v="21"/>
    <x v="0"/>
    <x v="5"/>
    <x v="2"/>
  </r>
  <r>
    <s v="TX500760"/>
    <x v="6"/>
    <x v="12"/>
    <n v="53.7"/>
    <x v="679"/>
    <x v="32"/>
    <d v="2025-02-06T00:00:00"/>
    <s v="M"/>
    <x v="1"/>
    <x v="4"/>
    <x v="0"/>
    <x v="2"/>
    <x v="5"/>
    <x v="5"/>
    <x v="1"/>
  </r>
  <r>
    <s v="TX500761"/>
    <x v="2"/>
    <x v="3"/>
    <n v="100.9"/>
    <x v="680"/>
    <x v="32"/>
    <d v="2025-02-04T00:00:00"/>
    <s v="F"/>
    <x v="0"/>
    <x v="1"/>
    <x v="0"/>
    <x v="2"/>
    <x v="1"/>
    <x v="5"/>
    <x v="2"/>
  </r>
  <r>
    <s v="TX500762"/>
    <x v="10"/>
    <x v="1"/>
    <n v="41.8"/>
    <x v="681"/>
    <x v="32"/>
    <d v="2025-02-06T00:00:00"/>
    <s v="M"/>
    <x v="3"/>
    <x v="2"/>
    <x v="0"/>
    <x v="22"/>
    <x v="5"/>
    <x v="5"/>
    <x v="1"/>
  </r>
  <r>
    <s v="TX500763"/>
    <x v="4"/>
    <x v="8"/>
    <n v="28.5"/>
    <x v="416"/>
    <x v="32"/>
    <d v="2025-02-04T00:00:00"/>
    <s v="M"/>
    <x v="2"/>
    <x v="1"/>
    <x v="0"/>
    <x v="3"/>
    <x v="1"/>
    <x v="5"/>
    <x v="1"/>
  </r>
  <r>
    <s v="TX500764"/>
    <x v="7"/>
    <x v="12"/>
    <n v="88.9"/>
    <x v="682"/>
    <x v="32"/>
    <d v="2025-02-05T00:00:00"/>
    <s v="F"/>
    <x v="0"/>
    <x v="2"/>
    <x v="0"/>
    <x v="3"/>
    <x v="2"/>
    <x v="5"/>
    <x v="2"/>
  </r>
  <r>
    <s v="TX500765"/>
    <x v="6"/>
    <x v="0"/>
    <n v="62.5"/>
    <x v="683"/>
    <x v="32"/>
    <d v="2025-02-11T00:00:00"/>
    <s v="F"/>
    <x v="0"/>
    <x v="2"/>
    <x v="0"/>
    <x v="3"/>
    <x v="8"/>
    <x v="5"/>
    <x v="2"/>
  </r>
  <r>
    <s v="TX500766"/>
    <x v="1"/>
    <x v="2"/>
    <n v="46.9"/>
    <x v="684"/>
    <x v="32"/>
    <d v="2025-02-03T00:00:00"/>
    <s v="M"/>
    <x v="0"/>
    <x v="2"/>
    <x v="0"/>
    <x v="3"/>
    <x v="3"/>
    <x v="5"/>
    <x v="1"/>
  </r>
  <r>
    <s v="TX500767"/>
    <x v="8"/>
    <x v="2"/>
    <n v="45"/>
    <x v="340"/>
    <x v="32"/>
    <d v="2025-02-16T00:00:00"/>
    <s v="M"/>
    <x v="1"/>
    <x v="0"/>
    <x v="0"/>
    <x v="3"/>
    <x v="12"/>
    <x v="5"/>
    <x v="1"/>
  </r>
  <r>
    <s v="TX500768"/>
    <x v="6"/>
    <x v="2"/>
    <n v="45.2"/>
    <x v="685"/>
    <x v="32"/>
    <d v="2025-02-04T00:00:00"/>
    <s v="M"/>
    <x v="4"/>
    <x v="2"/>
    <x v="0"/>
    <x v="3"/>
    <x v="1"/>
    <x v="5"/>
    <x v="1"/>
  </r>
  <r>
    <s v="TX500769"/>
    <x v="4"/>
    <x v="1"/>
    <n v="60.1"/>
    <x v="493"/>
    <x v="32"/>
    <d v="2025-02-03T00:00:00"/>
    <s v="F"/>
    <x v="0"/>
    <x v="2"/>
    <x v="0"/>
    <x v="3"/>
    <x v="3"/>
    <x v="5"/>
    <x v="2"/>
  </r>
  <r>
    <s v="TX500770"/>
    <x v="12"/>
    <x v="12"/>
    <n v="118.7"/>
    <x v="686"/>
    <x v="32"/>
    <d v="2025-02-04T00:00:00"/>
    <s v="F"/>
    <x v="0"/>
    <x v="0"/>
    <x v="0"/>
    <x v="3"/>
    <x v="1"/>
    <x v="5"/>
    <x v="2"/>
  </r>
  <r>
    <s v="TX500771"/>
    <x v="9"/>
    <x v="0"/>
    <n v="57.8"/>
    <x v="687"/>
    <x v="32"/>
    <d v="2025-02-11T00:00:00"/>
    <s v="F"/>
    <x v="1"/>
    <x v="0"/>
    <x v="0"/>
    <x v="3"/>
    <x v="8"/>
    <x v="5"/>
    <x v="2"/>
  </r>
  <r>
    <s v="TX500772"/>
    <x v="4"/>
    <x v="0"/>
    <n v="19.5"/>
    <x v="688"/>
    <x v="32"/>
    <d v="2025-02-03T00:00:00"/>
    <s v="M"/>
    <x v="1"/>
    <x v="1"/>
    <x v="0"/>
    <x v="3"/>
    <x v="3"/>
    <x v="5"/>
    <x v="1"/>
  </r>
  <r>
    <s v="TX500773"/>
    <x v="12"/>
    <x v="0"/>
    <n v="42.6"/>
    <x v="440"/>
    <x v="32"/>
    <d v="2025-02-03T00:00:00"/>
    <s v="M"/>
    <x v="0"/>
    <x v="1"/>
    <x v="0"/>
    <x v="3"/>
    <x v="3"/>
    <x v="5"/>
    <x v="1"/>
  </r>
  <r>
    <s v="TX500774"/>
    <x v="6"/>
    <x v="1"/>
    <n v="74.8"/>
    <x v="689"/>
    <x v="32"/>
    <d v="2025-02-03T00:00:00"/>
    <s v="F"/>
    <x v="3"/>
    <x v="2"/>
    <x v="0"/>
    <x v="37"/>
    <x v="3"/>
    <x v="5"/>
    <x v="2"/>
  </r>
  <r>
    <s v="TX500775"/>
    <x v="8"/>
    <x v="2"/>
    <n v="32.5"/>
    <x v="647"/>
    <x v="32"/>
    <d v="2025-02-03T00:00:00"/>
    <s v="M"/>
    <x v="2"/>
    <x v="4"/>
    <x v="0"/>
    <x v="16"/>
    <x v="3"/>
    <x v="5"/>
    <x v="1"/>
  </r>
  <r>
    <s v="TX500776"/>
    <x v="2"/>
    <x v="2"/>
    <n v="60.5"/>
    <x v="690"/>
    <x v="32"/>
    <d v="2025-02-02T00:00:00"/>
    <s v="F"/>
    <x v="1"/>
    <x v="2"/>
    <x v="0"/>
    <x v="25"/>
    <x v="7"/>
    <x v="5"/>
    <x v="2"/>
  </r>
  <r>
    <s v="TX500777"/>
    <x v="1"/>
    <x v="3"/>
    <n v="57.2"/>
    <x v="691"/>
    <x v="32"/>
    <d v="2025-02-04T00:00:00"/>
    <s v=""/>
    <x v="2"/>
    <x v="0"/>
    <x v="0"/>
    <x v="25"/>
    <x v="1"/>
    <x v="5"/>
    <x v="0"/>
  </r>
  <r>
    <s v="TX500778"/>
    <x v="16"/>
    <x v="1"/>
    <n v="112"/>
    <x v="692"/>
    <x v="32"/>
    <d v="2025-02-03T00:00:00"/>
    <s v="F"/>
    <x v="1"/>
    <x v="1"/>
    <x v="0"/>
    <x v="5"/>
    <x v="3"/>
    <x v="5"/>
    <x v="2"/>
  </r>
  <r>
    <s v="TX500779"/>
    <x v="7"/>
    <x v="7"/>
    <n v="49"/>
    <x v="157"/>
    <x v="32"/>
    <d v="2025-02-03T00:00:00"/>
    <s v="O"/>
    <x v="2"/>
    <x v="1"/>
    <x v="0"/>
    <x v="6"/>
    <x v="3"/>
    <x v="5"/>
    <x v="3"/>
  </r>
  <r>
    <s v="TX500780"/>
    <x v="0"/>
    <x v="1"/>
    <n v="33.700000000000003"/>
    <x v="693"/>
    <x v="32"/>
    <d v="2025-02-06T00:00:00"/>
    <s v="F"/>
    <x v="3"/>
    <x v="0"/>
    <x v="0"/>
    <x v="6"/>
    <x v="5"/>
    <x v="5"/>
    <x v="2"/>
  </r>
  <r>
    <s v="TX500781"/>
    <x v="4"/>
    <x v="2"/>
    <n v="35.6"/>
    <x v="694"/>
    <x v="32"/>
    <d v="2025-02-05T00:00:00"/>
    <s v="F"/>
    <x v="0"/>
    <x v="2"/>
    <x v="0"/>
    <x v="6"/>
    <x v="2"/>
    <x v="5"/>
    <x v="2"/>
  </r>
  <r>
    <s v="TX500782"/>
    <x v="4"/>
    <x v="36"/>
    <n v="30.4"/>
    <x v="695"/>
    <x v="33"/>
    <d v="2025-02-03T00:00:00"/>
    <s v="F"/>
    <x v="0"/>
    <x v="1"/>
    <x v="0"/>
    <x v="7"/>
    <x v="7"/>
    <x v="5"/>
    <x v="2"/>
  </r>
  <r>
    <s v="TX500783"/>
    <x v="10"/>
    <x v="4"/>
    <n v="50.2"/>
    <x v="696"/>
    <x v="33"/>
    <d v="2025-02-04T00:00:00"/>
    <s v="M"/>
    <x v="4"/>
    <x v="0"/>
    <x v="0"/>
    <x v="8"/>
    <x v="3"/>
    <x v="5"/>
    <x v="1"/>
  </r>
  <r>
    <s v="TX500784"/>
    <x v="1"/>
    <x v="1"/>
    <n v="43.7"/>
    <x v="697"/>
    <x v="33"/>
    <d v="2025-02-05T00:00:00"/>
    <s v="F"/>
    <x v="0"/>
    <x v="0"/>
    <x v="0"/>
    <x v="8"/>
    <x v="1"/>
    <x v="5"/>
    <x v="2"/>
  </r>
  <r>
    <s v="TX500785"/>
    <x v="10"/>
    <x v="0"/>
    <n v="33.299999999999997"/>
    <x v="698"/>
    <x v="33"/>
    <d v="2025-02-04T00:00:00"/>
    <s v="F"/>
    <x v="2"/>
    <x v="1"/>
    <x v="0"/>
    <x v="8"/>
    <x v="3"/>
    <x v="5"/>
    <x v="2"/>
  </r>
  <r>
    <s v="TX500786"/>
    <x v="8"/>
    <x v="12"/>
    <n v="15.1"/>
    <x v="266"/>
    <x v="33"/>
    <d v="2025-02-05T00:00:00"/>
    <s v="F"/>
    <x v="4"/>
    <x v="2"/>
    <x v="0"/>
    <x v="8"/>
    <x v="1"/>
    <x v="5"/>
    <x v="2"/>
  </r>
  <r>
    <s v="TX500787"/>
    <x v="6"/>
    <x v="9"/>
    <n v="118.2"/>
    <x v="699"/>
    <x v="33"/>
    <d v="2025-02-04T00:00:00"/>
    <s v="F"/>
    <x v="3"/>
    <x v="4"/>
    <x v="0"/>
    <x v="8"/>
    <x v="3"/>
    <x v="5"/>
    <x v="2"/>
  </r>
  <r>
    <s v="TX500788"/>
    <x v="10"/>
    <x v="2"/>
    <n v="28.9"/>
    <x v="700"/>
    <x v="33"/>
    <d v="2025-02-05T00:00:00"/>
    <s v="F"/>
    <x v="2"/>
    <x v="1"/>
    <x v="0"/>
    <x v="8"/>
    <x v="1"/>
    <x v="5"/>
    <x v="2"/>
  </r>
  <r>
    <s v="TX500789"/>
    <x v="4"/>
    <x v="2"/>
    <n v="55.6"/>
    <x v="701"/>
    <x v="33"/>
    <d v="2025-02-04T00:00:00"/>
    <s v="M"/>
    <x v="0"/>
    <x v="1"/>
    <x v="0"/>
    <x v="8"/>
    <x v="3"/>
    <x v="5"/>
    <x v="1"/>
  </r>
  <r>
    <s v="TX500790"/>
    <x v="9"/>
    <x v="12"/>
    <n v="25.6"/>
    <x v="298"/>
    <x v="33"/>
    <d v="2025-02-05T00:00:00"/>
    <s v="F"/>
    <x v="0"/>
    <x v="1"/>
    <x v="0"/>
    <x v="8"/>
    <x v="1"/>
    <x v="5"/>
    <x v="2"/>
  </r>
  <r>
    <s v="TX500791"/>
    <x v="7"/>
    <x v="2"/>
    <n v="31.3"/>
    <x v="442"/>
    <x v="33"/>
    <d v="2025-02-04T00:00:00"/>
    <s v="M"/>
    <x v="0"/>
    <x v="0"/>
    <x v="0"/>
    <x v="17"/>
    <x v="3"/>
    <x v="5"/>
    <x v="1"/>
  </r>
  <r>
    <s v="TX500792"/>
    <x v="0"/>
    <x v="2"/>
    <n v="22.1"/>
    <x v="702"/>
    <x v="33"/>
    <d v="2025-02-07T00:00:00"/>
    <s v="M"/>
    <x v="0"/>
    <x v="0"/>
    <x v="0"/>
    <x v="17"/>
    <x v="5"/>
    <x v="5"/>
    <x v="1"/>
  </r>
  <r>
    <s v="TX500793"/>
    <x v="2"/>
    <x v="21"/>
    <n v="99.4"/>
    <x v="703"/>
    <x v="33"/>
    <d v="2025-02-04T00:00:00"/>
    <s v="M"/>
    <x v="1"/>
    <x v="0"/>
    <x v="0"/>
    <x v="11"/>
    <x v="3"/>
    <x v="5"/>
    <x v="1"/>
  </r>
  <r>
    <s v="TX500794"/>
    <x v="7"/>
    <x v="13"/>
    <n v="66.599999999999994"/>
    <x v="704"/>
    <x v="33"/>
    <d v="2025-02-04T00:00:00"/>
    <s v="F"/>
    <x v="0"/>
    <x v="0"/>
    <x v="0"/>
    <x v="11"/>
    <x v="3"/>
    <x v="5"/>
    <x v="2"/>
  </r>
  <r>
    <s v="TX500795"/>
    <x v="8"/>
    <x v="1"/>
    <n v="22.6"/>
    <x v="705"/>
    <x v="33"/>
    <d v="2025-02-06T00:00:00"/>
    <s v="M"/>
    <x v="0"/>
    <x v="0"/>
    <x v="0"/>
    <x v="11"/>
    <x v="2"/>
    <x v="5"/>
    <x v="1"/>
  </r>
  <r>
    <s v="TX500796"/>
    <x v="2"/>
    <x v="16"/>
    <n v="66.8"/>
    <x v="706"/>
    <x v="33"/>
    <d v="2025-02-04T00:00:00"/>
    <s v="F"/>
    <x v="0"/>
    <x v="4"/>
    <x v="0"/>
    <x v="13"/>
    <x v="3"/>
    <x v="5"/>
    <x v="2"/>
  </r>
  <r>
    <s v="TX500797"/>
    <x v="0"/>
    <x v="12"/>
    <n v="20.8"/>
    <x v="707"/>
    <x v="33"/>
    <d v="2025-02-10T00:00:00"/>
    <s v="M"/>
    <x v="1"/>
    <x v="4"/>
    <x v="0"/>
    <x v="1"/>
    <x v="6"/>
    <x v="5"/>
    <x v="1"/>
  </r>
  <r>
    <s v="TX500798"/>
    <x v="2"/>
    <x v="3"/>
    <n v="102.5"/>
    <x v="708"/>
    <x v="33"/>
    <d v="2025-02-04T00:00:00"/>
    <s v="F"/>
    <x v="4"/>
    <x v="2"/>
    <x v="0"/>
    <x v="3"/>
    <x v="3"/>
    <x v="5"/>
    <x v="2"/>
  </r>
  <r>
    <s v="TX500799"/>
    <x v="0"/>
    <x v="16"/>
    <n v="24.8"/>
    <x v="709"/>
    <x v="33"/>
    <d v="2025-02-07T00:00:00"/>
    <s v="F"/>
    <x v="0"/>
    <x v="0"/>
    <x v="0"/>
    <x v="3"/>
    <x v="5"/>
    <x v="5"/>
    <x v="2"/>
  </r>
  <r>
    <s v="TX500800"/>
    <x v="4"/>
    <x v="37"/>
    <n v="31.4"/>
    <x v="710"/>
    <x v="33"/>
    <d v="2025-02-04T00:00:00"/>
    <s v="F"/>
    <x v="3"/>
    <x v="0"/>
    <x v="0"/>
    <x v="3"/>
    <x v="3"/>
    <x v="5"/>
    <x v="2"/>
  </r>
  <r>
    <s v="TX500801"/>
    <x v="9"/>
    <x v="9"/>
    <n v="59.3"/>
    <x v="711"/>
    <x v="33"/>
    <d v="2025-02-06T00:00:00"/>
    <s v="M"/>
    <x v="1"/>
    <x v="2"/>
    <x v="0"/>
    <x v="43"/>
    <x v="2"/>
    <x v="5"/>
    <x v="1"/>
  </r>
  <r>
    <s v="TX500802"/>
    <x v="11"/>
    <x v="13"/>
    <n v="39"/>
    <x v="540"/>
    <x v="33"/>
    <d v="2025-02-06T00:00:00"/>
    <s v="M"/>
    <x v="1"/>
    <x v="0"/>
    <x v="0"/>
    <x v="6"/>
    <x v="2"/>
    <x v="5"/>
    <x v="1"/>
  </r>
  <r>
    <s v="TX500803"/>
    <x v="5"/>
    <x v="13"/>
    <n v="98.6"/>
    <x v="712"/>
    <x v="33"/>
    <d v="2025-02-05T00:00:00"/>
    <s v="F"/>
    <x v="1"/>
    <x v="0"/>
    <x v="0"/>
    <x v="6"/>
    <x v="1"/>
    <x v="5"/>
    <x v="2"/>
  </r>
  <r>
    <s v="TX500804"/>
    <x v="8"/>
    <x v="0"/>
    <n v="20"/>
    <x v="614"/>
    <x v="34"/>
    <d v="2025-02-05T00:00:00"/>
    <s v="M"/>
    <x v="3"/>
    <x v="2"/>
    <x v="0"/>
    <x v="8"/>
    <x v="3"/>
    <x v="5"/>
    <x v="1"/>
  </r>
  <r>
    <s v="TX500805"/>
    <x v="1"/>
    <x v="1"/>
    <n v="42.9"/>
    <x v="550"/>
    <x v="34"/>
    <d v="2025-02-06T00:00:00"/>
    <s v="F"/>
    <x v="0"/>
    <x v="2"/>
    <x v="0"/>
    <x v="8"/>
    <x v="1"/>
    <x v="5"/>
    <x v="2"/>
  </r>
  <r>
    <s v="TX500806"/>
    <x v="7"/>
    <x v="3"/>
    <n v="55.6"/>
    <x v="713"/>
    <x v="34"/>
    <d v="2025-02-06T00:00:00"/>
    <s v="F"/>
    <x v="2"/>
    <x v="1"/>
    <x v="0"/>
    <x v="8"/>
    <x v="1"/>
    <x v="5"/>
    <x v="2"/>
  </r>
  <r>
    <s v="TX500807"/>
    <x v="8"/>
    <x v="12"/>
    <n v="19.2"/>
    <x v="714"/>
    <x v="34"/>
    <d v="2025-02-09T00:00:00"/>
    <s v="F"/>
    <x v="0"/>
    <x v="0"/>
    <x v="0"/>
    <x v="41"/>
    <x v="0"/>
    <x v="5"/>
    <x v="2"/>
  </r>
  <r>
    <s v="TX500808"/>
    <x v="5"/>
    <x v="1"/>
    <n v="28.8"/>
    <x v="636"/>
    <x v="34"/>
    <d v="2025-02-06T00:00:00"/>
    <s v="M"/>
    <x v="1"/>
    <x v="0"/>
    <x v="0"/>
    <x v="18"/>
    <x v="1"/>
    <x v="5"/>
    <x v="1"/>
  </r>
  <r>
    <s v="TX500809"/>
    <x v="4"/>
    <x v="0"/>
    <n v="29.7"/>
    <x v="47"/>
    <x v="34"/>
    <d v="2025-02-06T00:00:00"/>
    <s v="F"/>
    <x v="2"/>
    <x v="4"/>
    <x v="0"/>
    <x v="20"/>
    <x v="1"/>
    <x v="5"/>
    <x v="2"/>
  </r>
  <r>
    <s v="TX500810"/>
    <x v="6"/>
    <x v="13"/>
    <n v="63.3"/>
    <x v="715"/>
    <x v="34"/>
    <d v="2025-02-05T00:00:00"/>
    <s v=""/>
    <x v="0"/>
    <x v="2"/>
    <x v="0"/>
    <x v="21"/>
    <x v="3"/>
    <x v="5"/>
    <x v="0"/>
  </r>
  <r>
    <s v="TX500811"/>
    <x v="4"/>
    <x v="0"/>
    <n v="46"/>
    <x v="716"/>
    <x v="34"/>
    <d v="2025-02-05T00:00:00"/>
    <s v="F"/>
    <x v="0"/>
    <x v="2"/>
    <x v="0"/>
    <x v="21"/>
    <x v="3"/>
    <x v="5"/>
    <x v="2"/>
  </r>
  <r>
    <s v="TX500812"/>
    <x v="11"/>
    <x v="2"/>
    <n v="38"/>
    <x v="717"/>
    <x v="34"/>
    <d v="2025-02-06T00:00:00"/>
    <s v="F"/>
    <x v="1"/>
    <x v="2"/>
    <x v="0"/>
    <x v="21"/>
    <x v="1"/>
    <x v="5"/>
    <x v="2"/>
  </r>
  <r>
    <s v="TX500813"/>
    <x v="10"/>
    <x v="15"/>
    <n v="34.6"/>
    <x v="327"/>
    <x v="34"/>
    <d v="2025-02-06T00:00:00"/>
    <s v="F"/>
    <x v="0"/>
    <x v="1"/>
    <x v="0"/>
    <x v="21"/>
    <x v="1"/>
    <x v="5"/>
    <x v="2"/>
  </r>
  <r>
    <s v="TX500814"/>
    <x v="3"/>
    <x v="7"/>
    <n v="79.7"/>
    <x v="718"/>
    <x v="34"/>
    <d v="2025-02-05T00:00:00"/>
    <s v="F"/>
    <x v="4"/>
    <x v="1"/>
    <x v="0"/>
    <x v="21"/>
    <x v="3"/>
    <x v="5"/>
    <x v="2"/>
  </r>
  <r>
    <s v="TX500815"/>
    <x v="8"/>
    <x v="8"/>
    <n v="30.5"/>
    <x v="719"/>
    <x v="34"/>
    <d v="2025-02-08T00:00:00"/>
    <s v="M"/>
    <x v="3"/>
    <x v="0"/>
    <x v="0"/>
    <x v="1"/>
    <x v="5"/>
    <x v="5"/>
    <x v="1"/>
  </r>
  <r>
    <s v="TX500816"/>
    <x v="0"/>
    <x v="1"/>
    <n v="20.8"/>
    <x v="480"/>
    <x v="34"/>
    <d v="2025-02-05T00:00:00"/>
    <s v="F"/>
    <x v="0"/>
    <x v="0"/>
    <x v="0"/>
    <x v="2"/>
    <x v="3"/>
    <x v="5"/>
    <x v="2"/>
  </r>
  <r>
    <s v="TX500817"/>
    <x v="11"/>
    <x v="3"/>
    <n v="48.5"/>
    <x v="720"/>
    <x v="34"/>
    <d v="2025-02-08T00:00:00"/>
    <s v="F"/>
    <x v="2"/>
    <x v="2"/>
    <x v="0"/>
    <x v="2"/>
    <x v="5"/>
    <x v="5"/>
    <x v="2"/>
  </r>
  <r>
    <s v="TX500818"/>
    <x v="2"/>
    <x v="12"/>
    <n v="61.8"/>
    <x v="721"/>
    <x v="34"/>
    <d v="2025-02-08T00:00:00"/>
    <s v="F"/>
    <x v="4"/>
    <x v="0"/>
    <x v="0"/>
    <x v="22"/>
    <x v="5"/>
    <x v="5"/>
    <x v="2"/>
  </r>
  <r>
    <s v="TX500819"/>
    <x v="10"/>
    <x v="0"/>
    <n v="46.1"/>
    <x v="722"/>
    <x v="34"/>
    <d v="2025-02-05T00:00:00"/>
    <s v="O"/>
    <x v="2"/>
    <x v="0"/>
    <x v="0"/>
    <x v="3"/>
    <x v="3"/>
    <x v="5"/>
    <x v="3"/>
  </r>
  <r>
    <s v="TX500820"/>
    <x v="4"/>
    <x v="13"/>
    <n v="44"/>
    <x v="723"/>
    <x v="34"/>
    <d v="2025-02-05T00:00:00"/>
    <s v="F"/>
    <x v="0"/>
    <x v="0"/>
    <x v="0"/>
    <x v="3"/>
    <x v="3"/>
    <x v="5"/>
    <x v="2"/>
  </r>
  <r>
    <s v="TX500821"/>
    <x v="18"/>
    <x v="1"/>
    <n v="95.7"/>
    <x v="724"/>
    <x v="34"/>
    <d v="2025-02-10T00:00:00"/>
    <s v="F"/>
    <x v="3"/>
    <x v="2"/>
    <x v="0"/>
    <x v="3"/>
    <x v="4"/>
    <x v="5"/>
    <x v="2"/>
  </r>
  <r>
    <s v="TX500822"/>
    <x v="7"/>
    <x v="9"/>
    <n v="46.4"/>
    <x v="615"/>
    <x v="34"/>
    <d v="2025-02-07T00:00:00"/>
    <s v="F"/>
    <x v="0"/>
    <x v="0"/>
    <x v="0"/>
    <x v="3"/>
    <x v="2"/>
    <x v="5"/>
    <x v="2"/>
  </r>
  <r>
    <s v="TX500823"/>
    <x v="6"/>
    <x v="1"/>
    <n v="47.2"/>
    <x v="725"/>
    <x v="34"/>
    <d v="2025-02-06T00:00:00"/>
    <s v="F"/>
    <x v="0"/>
    <x v="2"/>
    <x v="0"/>
    <x v="3"/>
    <x v="1"/>
    <x v="5"/>
    <x v="2"/>
  </r>
  <r>
    <s v="TX500824"/>
    <x v="7"/>
    <x v="1"/>
    <n v="58.6"/>
    <x v="726"/>
    <x v="34"/>
    <d v="2025-02-05T00:00:00"/>
    <s v="F"/>
    <x v="2"/>
    <x v="1"/>
    <x v="0"/>
    <x v="3"/>
    <x v="3"/>
    <x v="5"/>
    <x v="2"/>
  </r>
  <r>
    <s v="TX500825"/>
    <x v="4"/>
    <x v="2"/>
    <n v="57"/>
    <x v="727"/>
    <x v="34"/>
    <d v="2025-02-05T00:00:00"/>
    <s v="M"/>
    <x v="0"/>
    <x v="2"/>
    <x v="0"/>
    <x v="3"/>
    <x v="3"/>
    <x v="5"/>
    <x v="1"/>
  </r>
  <r>
    <s v="TX500826"/>
    <x v="8"/>
    <x v="12"/>
    <n v="28.9"/>
    <x v="446"/>
    <x v="34"/>
    <d v="2025-02-08T00:00:00"/>
    <s v="M"/>
    <x v="2"/>
    <x v="0"/>
    <x v="0"/>
    <x v="3"/>
    <x v="5"/>
    <x v="5"/>
    <x v="1"/>
  </r>
  <r>
    <s v="TX500827"/>
    <x v="12"/>
    <x v="9"/>
    <n v="60.7"/>
    <x v="728"/>
    <x v="34"/>
    <d v="2025-02-08T00:00:00"/>
    <s v=""/>
    <x v="1"/>
    <x v="1"/>
    <x v="0"/>
    <x v="3"/>
    <x v="5"/>
    <x v="5"/>
    <x v="0"/>
  </r>
  <r>
    <s v="TX500828"/>
    <x v="6"/>
    <x v="9"/>
    <n v="60.8"/>
    <x v="729"/>
    <x v="34"/>
    <d v="2025-02-08T00:00:00"/>
    <s v="M"/>
    <x v="0"/>
    <x v="1"/>
    <x v="0"/>
    <x v="3"/>
    <x v="5"/>
    <x v="5"/>
    <x v="1"/>
  </r>
  <r>
    <s v="TX500829"/>
    <x v="6"/>
    <x v="9"/>
    <n v="64.599999999999994"/>
    <x v="730"/>
    <x v="34"/>
    <d v="2025-02-05T00:00:00"/>
    <s v="F"/>
    <x v="3"/>
    <x v="0"/>
    <x v="0"/>
    <x v="3"/>
    <x v="3"/>
    <x v="5"/>
    <x v="2"/>
  </r>
  <r>
    <s v="TX500830"/>
    <x v="8"/>
    <x v="0"/>
    <n v="21.9"/>
    <x v="731"/>
    <x v="34"/>
    <d v="2025-02-07T00:00:00"/>
    <s v="M"/>
    <x v="1"/>
    <x v="2"/>
    <x v="0"/>
    <x v="4"/>
    <x v="2"/>
    <x v="5"/>
    <x v="1"/>
  </r>
  <r>
    <s v="TX500831"/>
    <x v="4"/>
    <x v="4"/>
    <n v="33.4"/>
    <x v="732"/>
    <x v="34"/>
    <d v="2025-02-06T00:00:00"/>
    <s v="F"/>
    <x v="0"/>
    <x v="0"/>
    <x v="0"/>
    <x v="23"/>
    <x v="1"/>
    <x v="5"/>
    <x v="2"/>
  </r>
  <r>
    <s v="TX500832"/>
    <x v="2"/>
    <x v="0"/>
    <n v="51.7"/>
    <x v="733"/>
    <x v="34"/>
    <d v="2025-02-05T00:00:00"/>
    <s v=""/>
    <x v="0"/>
    <x v="0"/>
    <x v="0"/>
    <x v="6"/>
    <x v="3"/>
    <x v="5"/>
    <x v="0"/>
  </r>
  <r>
    <s v="TX500833"/>
    <x v="1"/>
    <x v="12"/>
    <n v="84.9"/>
    <x v="734"/>
    <x v="34"/>
    <d v="2025-02-05T00:00:00"/>
    <s v="F"/>
    <x v="1"/>
    <x v="1"/>
    <x v="0"/>
    <x v="6"/>
    <x v="3"/>
    <x v="5"/>
    <x v="2"/>
  </r>
  <r>
    <s v="TX500834"/>
    <x v="1"/>
    <x v="5"/>
    <n v="62.3"/>
    <x v="735"/>
    <x v="34"/>
    <d v="2025-02-05T00:00:00"/>
    <s v="F"/>
    <x v="2"/>
    <x v="2"/>
    <x v="0"/>
    <x v="7"/>
    <x v="3"/>
    <x v="5"/>
    <x v="2"/>
  </r>
  <r>
    <s v="TX500835"/>
    <x v="4"/>
    <x v="0"/>
    <n v="50.7"/>
    <x v="163"/>
    <x v="34"/>
    <d v="2025-02-06T00:00:00"/>
    <s v="M"/>
    <x v="2"/>
    <x v="2"/>
    <x v="0"/>
    <x v="8"/>
    <x v="1"/>
    <x v="5"/>
    <x v="1"/>
  </r>
  <r>
    <s v="TX500836"/>
    <x v="18"/>
    <x v="0"/>
    <n v="39.5"/>
    <x v="736"/>
    <x v="34"/>
    <d v="2025-02-05T00:00:00"/>
    <s v="M"/>
    <x v="4"/>
    <x v="1"/>
    <x v="0"/>
    <x v="8"/>
    <x v="3"/>
    <x v="5"/>
    <x v="1"/>
  </r>
  <r>
    <s v="TX500837"/>
    <x v="12"/>
    <x v="2"/>
    <n v="30.9"/>
    <x v="737"/>
    <x v="34"/>
    <d v="2025-02-05T00:00:00"/>
    <s v=""/>
    <x v="4"/>
    <x v="2"/>
    <x v="0"/>
    <x v="8"/>
    <x v="3"/>
    <x v="5"/>
    <x v="0"/>
  </r>
  <r>
    <s v="TX500838"/>
    <x v="1"/>
    <x v="3"/>
    <n v="36.4"/>
    <x v="133"/>
    <x v="34"/>
    <d v="2025-02-07T00:00:00"/>
    <s v="F"/>
    <x v="0"/>
    <x v="2"/>
    <x v="0"/>
    <x v="8"/>
    <x v="2"/>
    <x v="5"/>
    <x v="2"/>
  </r>
  <r>
    <s v="TX500839"/>
    <x v="6"/>
    <x v="8"/>
    <n v="105.6"/>
    <x v="738"/>
    <x v="34"/>
    <d v="2025-02-14T00:00:00"/>
    <s v="F"/>
    <x v="0"/>
    <x v="0"/>
    <x v="0"/>
    <x v="8"/>
    <x v="14"/>
    <x v="5"/>
    <x v="2"/>
  </r>
  <r>
    <s v="TX500840"/>
    <x v="8"/>
    <x v="1"/>
    <n v="22.1"/>
    <x v="573"/>
    <x v="34"/>
    <d v="2025-02-05T00:00:00"/>
    <s v="F"/>
    <x v="0"/>
    <x v="2"/>
    <x v="0"/>
    <x v="17"/>
    <x v="3"/>
    <x v="5"/>
    <x v="2"/>
  </r>
  <r>
    <s v="TX500841"/>
    <x v="0"/>
    <x v="2"/>
    <n v="22.6"/>
    <x v="418"/>
    <x v="34"/>
    <d v="2025-02-05T00:00:00"/>
    <s v="F"/>
    <x v="2"/>
    <x v="0"/>
    <x v="0"/>
    <x v="17"/>
    <x v="3"/>
    <x v="5"/>
    <x v="2"/>
  </r>
  <r>
    <s v="TX500842"/>
    <x v="10"/>
    <x v="13"/>
    <n v="26.3"/>
    <x v="739"/>
    <x v="34"/>
    <d v="2025-02-04T00:00:00"/>
    <s v="F"/>
    <x v="2"/>
    <x v="0"/>
    <x v="0"/>
    <x v="9"/>
    <x v="7"/>
    <x v="5"/>
    <x v="2"/>
  </r>
  <r>
    <s v="TX500843"/>
    <x v="1"/>
    <x v="12"/>
    <n v="37.799999999999997"/>
    <x v="277"/>
    <x v="34"/>
    <d v="2025-02-05T00:00:00"/>
    <s v="F"/>
    <x v="0"/>
    <x v="2"/>
    <x v="0"/>
    <x v="11"/>
    <x v="3"/>
    <x v="5"/>
    <x v="2"/>
  </r>
  <r>
    <s v="TX500844"/>
    <x v="6"/>
    <x v="14"/>
    <n v="96"/>
    <x v="740"/>
    <x v="34"/>
    <d v="2025-02-07T00:00:00"/>
    <s v="F"/>
    <x v="4"/>
    <x v="1"/>
    <x v="0"/>
    <x v="18"/>
    <x v="2"/>
    <x v="5"/>
    <x v="2"/>
  </r>
  <r>
    <s v="TX500845"/>
    <x v="1"/>
    <x v="0"/>
    <n v="83.6"/>
    <x v="681"/>
    <x v="34"/>
    <d v="2025-02-07T00:00:00"/>
    <s v="F"/>
    <x v="2"/>
    <x v="1"/>
    <x v="0"/>
    <x v="19"/>
    <x v="2"/>
    <x v="5"/>
    <x v="2"/>
  </r>
  <r>
    <s v="TX500846"/>
    <x v="2"/>
    <x v="13"/>
    <n v="72.599999999999994"/>
    <x v="349"/>
    <x v="34"/>
    <d v="2025-02-05T00:00:00"/>
    <s v="F"/>
    <x v="0"/>
    <x v="0"/>
    <x v="0"/>
    <x v="21"/>
    <x v="3"/>
    <x v="5"/>
    <x v="2"/>
  </r>
  <r>
    <s v="TX500847"/>
    <x v="5"/>
    <x v="28"/>
    <n v="69.099999999999994"/>
    <x v="741"/>
    <x v="35"/>
    <d v="2025-02-11T00:00:00"/>
    <s v="M"/>
    <x v="0"/>
    <x v="2"/>
    <x v="0"/>
    <x v="21"/>
    <x v="4"/>
    <x v="5"/>
    <x v="1"/>
  </r>
  <r>
    <s v="TX500848"/>
    <x v="4"/>
    <x v="1"/>
    <n v="22.6"/>
    <x v="705"/>
    <x v="35"/>
    <d v="2025-02-07T00:00:00"/>
    <s v="F"/>
    <x v="1"/>
    <x v="2"/>
    <x v="0"/>
    <x v="21"/>
    <x v="1"/>
    <x v="5"/>
    <x v="2"/>
  </r>
  <r>
    <s v="TX500849"/>
    <x v="6"/>
    <x v="1"/>
    <n v="45.3"/>
    <x v="742"/>
    <x v="35"/>
    <d v="2025-02-09T00:00:00"/>
    <s v="M"/>
    <x v="4"/>
    <x v="2"/>
    <x v="0"/>
    <x v="21"/>
    <x v="5"/>
    <x v="5"/>
    <x v="1"/>
  </r>
  <r>
    <s v="TX500850"/>
    <x v="2"/>
    <x v="1"/>
    <n v="115.1"/>
    <x v="743"/>
    <x v="35"/>
    <d v="2025-02-06T00:00:00"/>
    <s v="F"/>
    <x v="1"/>
    <x v="0"/>
    <x v="0"/>
    <x v="1"/>
    <x v="3"/>
    <x v="5"/>
    <x v="2"/>
  </r>
  <r>
    <s v="TX500851"/>
    <x v="18"/>
    <x v="12"/>
    <n v="79"/>
    <x v="744"/>
    <x v="35"/>
    <d v="2025-02-07T00:00:00"/>
    <s v="M"/>
    <x v="2"/>
    <x v="4"/>
    <x v="0"/>
    <x v="1"/>
    <x v="1"/>
    <x v="5"/>
    <x v="1"/>
  </r>
  <r>
    <s v="TX500852"/>
    <x v="6"/>
    <x v="9"/>
    <n v="52.8"/>
    <x v="723"/>
    <x v="35"/>
    <d v="2025-02-06T00:00:00"/>
    <s v="F"/>
    <x v="0"/>
    <x v="0"/>
    <x v="0"/>
    <x v="42"/>
    <x v="3"/>
    <x v="5"/>
    <x v="2"/>
  </r>
  <r>
    <s v="TX500853"/>
    <x v="8"/>
    <x v="1"/>
    <n v="34.1"/>
    <x v="745"/>
    <x v="35"/>
    <d v="2025-02-06T00:00:00"/>
    <s v="M"/>
    <x v="3"/>
    <x v="2"/>
    <x v="0"/>
    <x v="44"/>
    <x v="3"/>
    <x v="5"/>
    <x v="1"/>
  </r>
  <r>
    <s v="TX500854"/>
    <x v="6"/>
    <x v="9"/>
    <n v="107.9"/>
    <x v="746"/>
    <x v="35"/>
    <d v="2025-02-05T00:00:00"/>
    <s v="F"/>
    <x v="0"/>
    <x v="2"/>
    <x v="0"/>
    <x v="50"/>
    <x v="7"/>
    <x v="5"/>
    <x v="2"/>
  </r>
  <r>
    <s v="TX500855"/>
    <x v="8"/>
    <x v="15"/>
    <n v="48.5"/>
    <x v="747"/>
    <x v="35"/>
    <d v="2025-02-05T00:00:00"/>
    <s v="M"/>
    <x v="2"/>
    <x v="2"/>
    <x v="0"/>
    <x v="3"/>
    <x v="7"/>
    <x v="5"/>
    <x v="1"/>
  </r>
  <r>
    <s v="TX500856"/>
    <x v="5"/>
    <x v="2"/>
    <n v="34.700000000000003"/>
    <x v="748"/>
    <x v="35"/>
    <d v="2025-02-06T00:00:00"/>
    <s v=""/>
    <x v="4"/>
    <x v="1"/>
    <x v="0"/>
    <x v="3"/>
    <x v="3"/>
    <x v="5"/>
    <x v="0"/>
  </r>
  <r>
    <s v="TX500857"/>
    <x v="8"/>
    <x v="0"/>
    <n v="16.8"/>
    <x v="749"/>
    <x v="35"/>
    <d v="2025-02-07T00:00:00"/>
    <s v="F"/>
    <x v="3"/>
    <x v="0"/>
    <x v="0"/>
    <x v="3"/>
    <x v="1"/>
    <x v="5"/>
    <x v="2"/>
  </r>
  <r>
    <s v="TX500858"/>
    <x v="8"/>
    <x v="13"/>
    <n v="18.3"/>
    <x v="17"/>
    <x v="35"/>
    <d v="2025-02-08T00:00:00"/>
    <s v="F"/>
    <x v="0"/>
    <x v="0"/>
    <x v="0"/>
    <x v="3"/>
    <x v="2"/>
    <x v="5"/>
    <x v="2"/>
  </r>
  <r>
    <s v="TX500859"/>
    <x v="18"/>
    <x v="2"/>
    <n v="55.9"/>
    <x v="750"/>
    <x v="35"/>
    <d v="2025-02-11T00:00:00"/>
    <s v="M"/>
    <x v="3"/>
    <x v="1"/>
    <x v="0"/>
    <x v="3"/>
    <x v="4"/>
    <x v="5"/>
    <x v="1"/>
  </r>
  <r>
    <s v="TX500860"/>
    <x v="8"/>
    <x v="2"/>
    <n v="39.200000000000003"/>
    <x v="557"/>
    <x v="35"/>
    <d v="2025-02-07T00:00:00"/>
    <s v="F"/>
    <x v="0"/>
    <x v="1"/>
    <x v="0"/>
    <x v="3"/>
    <x v="1"/>
    <x v="5"/>
    <x v="2"/>
  </r>
  <r>
    <s v="TX500861"/>
    <x v="15"/>
    <x v="12"/>
    <n v="66.5"/>
    <x v="751"/>
    <x v="35"/>
    <d v="2025-02-07T00:00:00"/>
    <s v=""/>
    <x v="3"/>
    <x v="1"/>
    <x v="0"/>
    <x v="3"/>
    <x v="1"/>
    <x v="5"/>
    <x v="0"/>
  </r>
  <r>
    <s v="TX500862"/>
    <x v="6"/>
    <x v="13"/>
    <n v="52.1"/>
    <x v="752"/>
    <x v="35"/>
    <d v="2025-02-07T00:00:00"/>
    <s v="M"/>
    <x v="1"/>
    <x v="1"/>
    <x v="0"/>
    <x v="16"/>
    <x v="1"/>
    <x v="5"/>
    <x v="1"/>
  </r>
  <r>
    <s v="TX500863"/>
    <x v="8"/>
    <x v="1"/>
    <n v="19"/>
    <x v="753"/>
    <x v="35"/>
    <d v="2025-02-06T00:00:00"/>
    <s v="M"/>
    <x v="4"/>
    <x v="2"/>
    <x v="0"/>
    <x v="6"/>
    <x v="3"/>
    <x v="5"/>
    <x v="1"/>
  </r>
  <r>
    <s v="TX500864"/>
    <x v="7"/>
    <x v="2"/>
    <n v="84.8"/>
    <x v="754"/>
    <x v="35"/>
    <d v="2025-02-07T00:00:00"/>
    <s v="F"/>
    <x v="2"/>
    <x v="0"/>
    <x v="0"/>
    <x v="8"/>
    <x v="1"/>
    <x v="5"/>
    <x v="2"/>
  </r>
  <r>
    <s v="TX500865"/>
    <x v="2"/>
    <x v="12"/>
    <n v="63.9"/>
    <x v="755"/>
    <x v="35"/>
    <d v="2025-02-08T00:00:00"/>
    <s v="F"/>
    <x v="0"/>
    <x v="0"/>
    <x v="0"/>
    <x v="8"/>
    <x v="2"/>
    <x v="5"/>
    <x v="2"/>
  </r>
  <r>
    <s v="TX500866"/>
    <x v="2"/>
    <x v="2"/>
    <n v="65.5"/>
    <x v="756"/>
    <x v="35"/>
    <d v="2025-02-05T00:00:00"/>
    <s v="F"/>
    <x v="1"/>
    <x v="1"/>
    <x v="0"/>
    <x v="8"/>
    <x v="7"/>
    <x v="5"/>
    <x v="2"/>
  </r>
  <r>
    <s v="TX500867"/>
    <x v="12"/>
    <x v="1"/>
    <n v="116.2"/>
    <x v="757"/>
    <x v="35"/>
    <d v="2025-02-11T00:00:00"/>
    <s v="M"/>
    <x v="3"/>
    <x v="0"/>
    <x v="0"/>
    <x v="17"/>
    <x v="4"/>
    <x v="5"/>
    <x v="1"/>
  </r>
  <r>
    <s v="TX500868"/>
    <x v="10"/>
    <x v="12"/>
    <n v="22.9"/>
    <x v="758"/>
    <x v="35"/>
    <d v="2025-02-07T00:00:00"/>
    <s v="F"/>
    <x v="2"/>
    <x v="1"/>
    <x v="0"/>
    <x v="38"/>
    <x v="1"/>
    <x v="5"/>
    <x v="2"/>
  </r>
  <r>
    <s v="TX500869"/>
    <x v="10"/>
    <x v="2"/>
    <n v="53.7"/>
    <x v="759"/>
    <x v="35"/>
    <d v="2025-02-06T00:00:00"/>
    <s v="M"/>
    <x v="0"/>
    <x v="4"/>
    <x v="0"/>
    <x v="18"/>
    <x v="3"/>
    <x v="5"/>
    <x v="1"/>
  </r>
  <r>
    <s v="TX500870"/>
    <x v="6"/>
    <x v="9"/>
    <n v="43.2"/>
    <x v="760"/>
    <x v="35"/>
    <d v="2025-02-07T00:00:00"/>
    <s v="F"/>
    <x v="0"/>
    <x v="0"/>
    <x v="0"/>
    <x v="19"/>
    <x v="1"/>
    <x v="5"/>
    <x v="2"/>
  </r>
  <r>
    <s v="TX500871"/>
    <x v="1"/>
    <x v="2"/>
    <n v="84.5"/>
    <x v="103"/>
    <x v="35"/>
    <d v="2025-02-07T00:00:00"/>
    <s v="M"/>
    <x v="2"/>
    <x v="2"/>
    <x v="0"/>
    <x v="51"/>
    <x v="1"/>
    <x v="5"/>
    <x v="1"/>
  </r>
  <r>
    <s v="TX500872"/>
    <x v="3"/>
    <x v="1"/>
    <n v="42.2"/>
    <x v="533"/>
    <x v="35"/>
    <d v="2025-02-06T00:00:00"/>
    <s v="F"/>
    <x v="1"/>
    <x v="2"/>
    <x v="0"/>
    <x v="1"/>
    <x v="3"/>
    <x v="5"/>
    <x v="2"/>
  </r>
  <r>
    <s v="TX500873"/>
    <x v="2"/>
    <x v="13"/>
    <n v="94.7"/>
    <x v="761"/>
    <x v="35"/>
    <d v="2025-02-08T00:00:00"/>
    <s v="F"/>
    <x v="1"/>
    <x v="2"/>
    <x v="0"/>
    <x v="2"/>
    <x v="2"/>
    <x v="5"/>
    <x v="2"/>
  </r>
  <r>
    <s v="TX500874"/>
    <x v="8"/>
    <x v="16"/>
    <n v="16.7"/>
    <x v="182"/>
    <x v="35"/>
    <d v="2025-02-17T00:00:00"/>
    <s v="F"/>
    <x v="0"/>
    <x v="2"/>
    <x v="0"/>
    <x v="2"/>
    <x v="13"/>
    <x v="5"/>
    <x v="2"/>
  </r>
  <r>
    <s v="TX500875"/>
    <x v="2"/>
    <x v="1"/>
    <n v="83.6"/>
    <x v="762"/>
    <x v="35"/>
    <d v="2025-02-11T00:00:00"/>
    <s v="F"/>
    <x v="1"/>
    <x v="0"/>
    <x v="0"/>
    <x v="3"/>
    <x v="4"/>
    <x v="5"/>
    <x v="2"/>
  </r>
  <r>
    <s v="TX500876"/>
    <x v="7"/>
    <x v="13"/>
    <n v="33.6"/>
    <x v="763"/>
    <x v="36"/>
    <d v="2025-02-07T00:00:00"/>
    <s v="F"/>
    <x v="3"/>
    <x v="0"/>
    <x v="0"/>
    <x v="3"/>
    <x v="3"/>
    <x v="5"/>
    <x v="2"/>
  </r>
  <r>
    <s v="TX500877"/>
    <x v="7"/>
    <x v="1"/>
    <n v="64.7"/>
    <x v="385"/>
    <x v="36"/>
    <d v="2025-02-08T00:00:00"/>
    <s v="M"/>
    <x v="1"/>
    <x v="2"/>
    <x v="0"/>
    <x v="3"/>
    <x v="1"/>
    <x v="5"/>
    <x v="1"/>
  </r>
  <r>
    <s v="TX500878"/>
    <x v="0"/>
    <x v="2"/>
    <n v="15.7"/>
    <x v="179"/>
    <x v="36"/>
    <d v="2025-02-12T00:00:00"/>
    <s v="F"/>
    <x v="0"/>
    <x v="0"/>
    <x v="0"/>
    <x v="3"/>
    <x v="4"/>
    <x v="5"/>
    <x v="2"/>
  </r>
  <r>
    <s v="TX500879"/>
    <x v="15"/>
    <x v="13"/>
    <n v="49.4"/>
    <x v="764"/>
    <x v="36"/>
    <d v="2025-02-06T00:00:00"/>
    <s v="M"/>
    <x v="1"/>
    <x v="0"/>
    <x v="0"/>
    <x v="3"/>
    <x v="7"/>
    <x v="5"/>
    <x v="1"/>
  </r>
  <r>
    <s v="TX500880"/>
    <x v="10"/>
    <x v="13"/>
    <n v="37"/>
    <x v="765"/>
    <x v="36"/>
    <d v="2025-02-09T00:00:00"/>
    <s v="F"/>
    <x v="1"/>
    <x v="2"/>
    <x v="0"/>
    <x v="3"/>
    <x v="2"/>
    <x v="5"/>
    <x v="2"/>
  </r>
  <r>
    <s v="TX500881"/>
    <x v="2"/>
    <x v="1"/>
    <n v="83.7"/>
    <x v="589"/>
    <x v="36"/>
    <d v="2025-02-08T00:00:00"/>
    <s v="F"/>
    <x v="3"/>
    <x v="2"/>
    <x v="0"/>
    <x v="3"/>
    <x v="1"/>
    <x v="5"/>
    <x v="2"/>
  </r>
  <r>
    <s v="TX500882"/>
    <x v="1"/>
    <x v="9"/>
    <n v="35.1"/>
    <x v="766"/>
    <x v="36"/>
    <d v="2025-02-07T00:00:00"/>
    <s v="F"/>
    <x v="0"/>
    <x v="0"/>
    <x v="0"/>
    <x v="3"/>
    <x v="3"/>
    <x v="5"/>
    <x v="2"/>
  </r>
  <r>
    <s v="TX500883"/>
    <x v="16"/>
    <x v="8"/>
    <n v="74"/>
    <x v="767"/>
    <x v="36"/>
    <d v="2025-02-07T00:00:00"/>
    <s v="F"/>
    <x v="4"/>
    <x v="0"/>
    <x v="0"/>
    <x v="37"/>
    <x v="3"/>
    <x v="5"/>
    <x v="2"/>
  </r>
  <r>
    <s v="TX500884"/>
    <x v="6"/>
    <x v="25"/>
    <n v="55.5"/>
    <x v="768"/>
    <x v="36"/>
    <d v="2025-02-09T00:00:00"/>
    <s v="M"/>
    <x v="3"/>
    <x v="0"/>
    <x v="0"/>
    <x v="49"/>
    <x v="2"/>
    <x v="5"/>
    <x v="1"/>
  </r>
  <r>
    <s v="TX500885"/>
    <x v="11"/>
    <x v="1"/>
    <n v="38.9"/>
    <x v="482"/>
    <x v="36"/>
    <d v="2025-02-08T00:00:00"/>
    <s v="F"/>
    <x v="1"/>
    <x v="2"/>
    <x v="0"/>
    <x v="25"/>
    <x v="1"/>
    <x v="5"/>
    <x v="2"/>
  </r>
  <r>
    <s v="TX500886"/>
    <x v="16"/>
    <x v="1"/>
    <n v="64.599999999999994"/>
    <x v="769"/>
    <x v="36"/>
    <d v="2025-02-13T00:00:00"/>
    <s v="M"/>
    <x v="2"/>
    <x v="1"/>
    <x v="0"/>
    <x v="25"/>
    <x v="6"/>
    <x v="5"/>
    <x v="1"/>
  </r>
  <r>
    <s v="TX500887"/>
    <x v="2"/>
    <x v="2"/>
    <n v="95.3"/>
    <x v="770"/>
    <x v="36"/>
    <d v="2025-02-07T00:00:00"/>
    <s v="M"/>
    <x v="0"/>
    <x v="0"/>
    <x v="0"/>
    <x v="5"/>
    <x v="3"/>
    <x v="5"/>
    <x v="1"/>
  </r>
  <r>
    <s v="TX500888"/>
    <x v="13"/>
    <x v="2"/>
    <n v="25.8"/>
    <x v="771"/>
    <x v="36"/>
    <d v="2025-02-07T00:00:00"/>
    <s v="F"/>
    <x v="1"/>
    <x v="1"/>
    <x v="0"/>
    <x v="6"/>
    <x v="3"/>
    <x v="5"/>
    <x v="2"/>
  </r>
  <r>
    <s v="TX500889"/>
    <x v="0"/>
    <x v="1"/>
    <n v="11.6"/>
    <x v="772"/>
    <x v="36"/>
    <d v="2025-02-10T00:00:00"/>
    <s v="F"/>
    <x v="1"/>
    <x v="1"/>
    <x v="0"/>
    <x v="6"/>
    <x v="5"/>
    <x v="5"/>
    <x v="2"/>
  </r>
  <r>
    <s v="TX500890"/>
    <x v="7"/>
    <x v="0"/>
    <n v="52.3"/>
    <x v="773"/>
    <x v="36"/>
    <d v="2025-02-07T00:00:00"/>
    <s v="F"/>
    <x v="1"/>
    <x v="0"/>
    <x v="0"/>
    <x v="8"/>
    <x v="3"/>
    <x v="5"/>
    <x v="2"/>
  </r>
  <r>
    <s v="TX500891"/>
    <x v="2"/>
    <x v="7"/>
    <n v="112.2"/>
    <x v="774"/>
    <x v="36"/>
    <d v="2025-02-07T00:00:00"/>
    <s v="F"/>
    <x v="1"/>
    <x v="1"/>
    <x v="0"/>
    <x v="8"/>
    <x v="3"/>
    <x v="5"/>
    <x v="2"/>
  </r>
  <r>
    <s v="TX500892"/>
    <x v="4"/>
    <x v="9"/>
    <n v="34.6"/>
    <x v="775"/>
    <x v="36"/>
    <d v="2025-02-08T00:00:00"/>
    <s v="M"/>
    <x v="2"/>
    <x v="0"/>
    <x v="0"/>
    <x v="8"/>
    <x v="1"/>
    <x v="5"/>
    <x v="1"/>
  </r>
  <r>
    <s v="TX500893"/>
    <x v="14"/>
    <x v="12"/>
    <n v="20.100000000000001"/>
    <x v="48"/>
    <x v="36"/>
    <d v="2025-02-12T00:00:00"/>
    <s v="M"/>
    <x v="1"/>
    <x v="2"/>
    <x v="0"/>
    <x v="8"/>
    <x v="4"/>
    <x v="5"/>
    <x v="1"/>
  </r>
  <r>
    <s v="TX500894"/>
    <x v="2"/>
    <x v="12"/>
    <n v="56.4"/>
    <x v="776"/>
    <x v="36"/>
    <d v="2025-02-08T00:00:00"/>
    <s v="F"/>
    <x v="2"/>
    <x v="0"/>
    <x v="0"/>
    <x v="10"/>
    <x v="1"/>
    <x v="5"/>
    <x v="2"/>
  </r>
  <r>
    <s v="TX500895"/>
    <x v="13"/>
    <x v="11"/>
    <n v="55.3"/>
    <x v="777"/>
    <x v="36"/>
    <d v="2025-02-08T00:00:00"/>
    <s v="F"/>
    <x v="1"/>
    <x v="4"/>
    <x v="0"/>
    <x v="11"/>
    <x v="1"/>
    <x v="5"/>
    <x v="2"/>
  </r>
  <r>
    <s v="TX500896"/>
    <x v="2"/>
    <x v="31"/>
    <n v="75.5"/>
    <x v="778"/>
    <x v="36"/>
    <d v="2025-02-07T00:00:00"/>
    <s v="F"/>
    <x v="0"/>
    <x v="0"/>
    <x v="0"/>
    <x v="11"/>
    <x v="3"/>
    <x v="5"/>
    <x v="2"/>
  </r>
  <r>
    <s v="TX500897"/>
    <x v="8"/>
    <x v="0"/>
    <n v="23.6"/>
    <x v="779"/>
    <x v="36"/>
    <d v="2025-02-11T00:00:00"/>
    <s v="F"/>
    <x v="0"/>
    <x v="0"/>
    <x v="0"/>
    <x v="19"/>
    <x v="0"/>
    <x v="5"/>
    <x v="2"/>
  </r>
  <r>
    <s v="TX500898"/>
    <x v="9"/>
    <x v="1"/>
    <n v="70.7"/>
    <x v="780"/>
    <x v="36"/>
    <d v="2025-02-08T00:00:00"/>
    <s v="F"/>
    <x v="2"/>
    <x v="0"/>
    <x v="0"/>
    <x v="19"/>
    <x v="1"/>
    <x v="5"/>
    <x v="2"/>
  </r>
  <r>
    <s v="TX500899"/>
    <x v="12"/>
    <x v="1"/>
    <n v="43.2"/>
    <x v="781"/>
    <x v="36"/>
    <d v="2025-02-07T00:00:00"/>
    <s v="F"/>
    <x v="2"/>
    <x v="0"/>
    <x v="0"/>
    <x v="31"/>
    <x v="3"/>
    <x v="5"/>
    <x v="2"/>
  </r>
  <r>
    <s v="TX500900"/>
    <x v="9"/>
    <x v="11"/>
    <n v="70"/>
    <x v="782"/>
    <x v="36"/>
    <d v="2025-02-07T00:00:00"/>
    <s v=""/>
    <x v="1"/>
    <x v="0"/>
    <x v="0"/>
    <x v="52"/>
    <x v="3"/>
    <x v="5"/>
    <x v="0"/>
  </r>
  <r>
    <s v="TX500901"/>
    <x v="0"/>
    <x v="1"/>
    <n v="20.5"/>
    <x v="783"/>
    <x v="36"/>
    <d v="2025-02-08T00:00:00"/>
    <s v="F"/>
    <x v="2"/>
    <x v="4"/>
    <x v="0"/>
    <x v="13"/>
    <x v="1"/>
    <x v="5"/>
    <x v="2"/>
  </r>
  <r>
    <s v="TX500902"/>
    <x v="0"/>
    <x v="12"/>
    <n v="29.1"/>
    <x v="565"/>
    <x v="36"/>
    <d v="2025-02-07T00:00:00"/>
    <s v="F"/>
    <x v="3"/>
    <x v="0"/>
    <x v="0"/>
    <x v="28"/>
    <x v="3"/>
    <x v="5"/>
    <x v="2"/>
  </r>
  <r>
    <s v="TX500903"/>
    <x v="6"/>
    <x v="11"/>
    <n v="53.6"/>
    <x v="784"/>
    <x v="36"/>
    <d v="2025-02-07T00:00:00"/>
    <s v="M"/>
    <x v="2"/>
    <x v="1"/>
    <x v="0"/>
    <x v="3"/>
    <x v="3"/>
    <x v="5"/>
    <x v="1"/>
  </r>
  <r>
    <s v="TX500904"/>
    <x v="6"/>
    <x v="9"/>
    <n v="72.3"/>
    <x v="785"/>
    <x v="36"/>
    <d v="2025-02-08T00:00:00"/>
    <s v="F"/>
    <x v="1"/>
    <x v="0"/>
    <x v="0"/>
    <x v="3"/>
    <x v="1"/>
    <x v="5"/>
    <x v="2"/>
  </r>
  <r>
    <s v="TX500905"/>
    <x v="13"/>
    <x v="12"/>
    <n v="22.6"/>
    <x v="786"/>
    <x v="36"/>
    <d v="2025-02-09T00:00:00"/>
    <s v="O"/>
    <x v="0"/>
    <x v="1"/>
    <x v="0"/>
    <x v="3"/>
    <x v="2"/>
    <x v="5"/>
    <x v="3"/>
  </r>
  <r>
    <s v="TX500906"/>
    <x v="9"/>
    <x v="1"/>
    <n v="44.2"/>
    <x v="787"/>
    <x v="36"/>
    <d v="2025-02-10T00:00:00"/>
    <s v=""/>
    <x v="2"/>
    <x v="4"/>
    <x v="0"/>
    <x v="3"/>
    <x v="5"/>
    <x v="5"/>
    <x v="0"/>
  </r>
  <r>
    <s v="TX500907"/>
    <x v="9"/>
    <x v="2"/>
    <n v="94.1"/>
    <x v="788"/>
    <x v="36"/>
    <d v="2025-02-19T00:00:00"/>
    <s v="F"/>
    <x v="2"/>
    <x v="2"/>
    <x v="0"/>
    <x v="3"/>
    <x v="10"/>
    <x v="5"/>
    <x v="2"/>
  </r>
  <r>
    <s v="TX500908"/>
    <x v="8"/>
    <x v="2"/>
    <n v="17.899999999999999"/>
    <x v="789"/>
    <x v="36"/>
    <d v="2025-02-08T00:00:00"/>
    <s v="M"/>
    <x v="1"/>
    <x v="1"/>
    <x v="0"/>
    <x v="3"/>
    <x v="1"/>
    <x v="5"/>
    <x v="1"/>
  </r>
  <r>
    <s v="TX500909"/>
    <x v="12"/>
    <x v="3"/>
    <n v="52.7"/>
    <x v="790"/>
    <x v="36"/>
    <d v="2025-02-07T00:00:00"/>
    <s v="M"/>
    <x v="1"/>
    <x v="1"/>
    <x v="0"/>
    <x v="3"/>
    <x v="3"/>
    <x v="5"/>
    <x v="1"/>
  </r>
  <r>
    <s v="TX500910"/>
    <x v="8"/>
    <x v="0"/>
    <n v="36.799999999999997"/>
    <x v="791"/>
    <x v="36"/>
    <d v="2025-02-06T00:00:00"/>
    <s v=""/>
    <x v="0"/>
    <x v="2"/>
    <x v="0"/>
    <x v="3"/>
    <x v="7"/>
    <x v="5"/>
    <x v="0"/>
  </r>
  <r>
    <s v="TX500911"/>
    <x v="4"/>
    <x v="0"/>
    <n v="52.5"/>
    <x v="413"/>
    <x v="36"/>
    <d v="2025-02-07T00:00:00"/>
    <s v="M"/>
    <x v="0"/>
    <x v="1"/>
    <x v="0"/>
    <x v="6"/>
    <x v="3"/>
    <x v="5"/>
    <x v="1"/>
  </r>
  <r>
    <s v="TX500912"/>
    <x v="2"/>
    <x v="1"/>
    <n v="133.80000000000001"/>
    <x v="792"/>
    <x v="36"/>
    <d v="2025-02-08T00:00:00"/>
    <s v="M"/>
    <x v="0"/>
    <x v="1"/>
    <x v="0"/>
    <x v="7"/>
    <x v="1"/>
    <x v="5"/>
    <x v="1"/>
  </r>
  <r>
    <s v="TX500913"/>
    <x v="6"/>
    <x v="1"/>
    <n v="53.2"/>
    <x v="793"/>
    <x v="36"/>
    <d v="2025-02-08T00:00:00"/>
    <s v="M"/>
    <x v="0"/>
    <x v="0"/>
    <x v="0"/>
    <x v="17"/>
    <x v="1"/>
    <x v="5"/>
    <x v="1"/>
  </r>
  <r>
    <s v="TX500914"/>
    <x v="14"/>
    <x v="13"/>
    <n v="18.7"/>
    <x v="794"/>
    <x v="36"/>
    <d v="2025-02-08T00:00:00"/>
    <s v=""/>
    <x v="0"/>
    <x v="1"/>
    <x v="0"/>
    <x v="10"/>
    <x v="1"/>
    <x v="5"/>
    <x v="0"/>
  </r>
  <r>
    <s v="TX500915"/>
    <x v="6"/>
    <x v="12"/>
    <n v="108.8"/>
    <x v="795"/>
    <x v="36"/>
    <d v="2025-02-07T00:00:00"/>
    <s v="F"/>
    <x v="3"/>
    <x v="2"/>
    <x v="0"/>
    <x v="11"/>
    <x v="3"/>
    <x v="5"/>
    <x v="2"/>
  </r>
  <r>
    <s v="TX500916"/>
    <x v="15"/>
    <x v="9"/>
    <n v="38.5"/>
    <x v="796"/>
    <x v="36"/>
    <d v="2025-02-10T00:00:00"/>
    <s v="F"/>
    <x v="0"/>
    <x v="1"/>
    <x v="0"/>
    <x v="14"/>
    <x v="5"/>
    <x v="5"/>
    <x v="2"/>
  </r>
  <r>
    <s v="TX500917"/>
    <x v="10"/>
    <x v="7"/>
    <n v="46.5"/>
    <x v="797"/>
    <x v="36"/>
    <d v="2025-02-08T00:00:00"/>
    <s v="M"/>
    <x v="2"/>
    <x v="1"/>
    <x v="0"/>
    <x v="2"/>
    <x v="1"/>
    <x v="5"/>
    <x v="1"/>
  </r>
  <r>
    <s v="TX500918"/>
    <x v="2"/>
    <x v="2"/>
    <n v="75.8"/>
    <x v="129"/>
    <x v="36"/>
    <d v="2025-02-10T00:00:00"/>
    <s v="F"/>
    <x v="1"/>
    <x v="4"/>
    <x v="0"/>
    <x v="44"/>
    <x v="5"/>
    <x v="5"/>
    <x v="2"/>
  </r>
  <r>
    <s v="TX500919"/>
    <x v="8"/>
    <x v="0"/>
    <n v="20.9"/>
    <x v="798"/>
    <x v="36"/>
    <d v="2025-02-10T00:00:00"/>
    <s v="M"/>
    <x v="0"/>
    <x v="0"/>
    <x v="0"/>
    <x v="22"/>
    <x v="5"/>
    <x v="5"/>
    <x v="1"/>
  </r>
  <r>
    <s v="TX500920"/>
    <x v="18"/>
    <x v="2"/>
    <n v="47.4"/>
    <x v="60"/>
    <x v="36"/>
    <d v="2025-02-09T00:00:00"/>
    <s v="F"/>
    <x v="0"/>
    <x v="0"/>
    <x v="0"/>
    <x v="3"/>
    <x v="2"/>
    <x v="5"/>
    <x v="2"/>
  </r>
  <r>
    <s v="TX500921"/>
    <x v="9"/>
    <x v="1"/>
    <n v="53.8"/>
    <x v="799"/>
    <x v="36"/>
    <d v="2025-02-07T00:00:00"/>
    <s v=""/>
    <x v="0"/>
    <x v="1"/>
    <x v="0"/>
    <x v="3"/>
    <x v="3"/>
    <x v="5"/>
    <x v="0"/>
  </r>
  <r>
    <s v="TX500922"/>
    <x v="8"/>
    <x v="2"/>
    <n v="24.6"/>
    <x v="800"/>
    <x v="36"/>
    <d v="2025-02-08T00:00:00"/>
    <s v="O"/>
    <x v="1"/>
    <x v="2"/>
    <x v="0"/>
    <x v="3"/>
    <x v="1"/>
    <x v="5"/>
    <x v="3"/>
  </r>
  <r>
    <s v="TX500923"/>
    <x v="9"/>
    <x v="2"/>
    <n v="70.900000000000006"/>
    <x v="801"/>
    <x v="36"/>
    <d v="2025-02-11T00:00:00"/>
    <s v="F"/>
    <x v="2"/>
    <x v="2"/>
    <x v="0"/>
    <x v="3"/>
    <x v="0"/>
    <x v="5"/>
    <x v="2"/>
  </r>
  <r>
    <s v="TX500924"/>
    <x v="17"/>
    <x v="2"/>
    <n v="31.9"/>
    <x v="802"/>
    <x v="36"/>
    <d v="2025-02-08T00:00:00"/>
    <s v="F"/>
    <x v="2"/>
    <x v="2"/>
    <x v="0"/>
    <x v="3"/>
    <x v="1"/>
    <x v="5"/>
    <x v="2"/>
  </r>
  <r>
    <s v="TX500925"/>
    <x v="0"/>
    <x v="1"/>
    <n v="20.399999999999999"/>
    <x v="803"/>
    <x v="36"/>
    <d v="2025-02-10T00:00:00"/>
    <s v="M"/>
    <x v="3"/>
    <x v="2"/>
    <x v="0"/>
    <x v="3"/>
    <x v="5"/>
    <x v="5"/>
    <x v="1"/>
  </r>
  <r>
    <s v="TX500926"/>
    <x v="8"/>
    <x v="1"/>
    <n v="18.600000000000001"/>
    <x v="804"/>
    <x v="36"/>
    <d v="2025-02-08T00:00:00"/>
    <s v=""/>
    <x v="0"/>
    <x v="1"/>
    <x v="0"/>
    <x v="3"/>
    <x v="1"/>
    <x v="5"/>
    <x v="0"/>
  </r>
  <r>
    <s v="TX500927"/>
    <x v="4"/>
    <x v="9"/>
    <n v="48.3"/>
    <x v="805"/>
    <x v="36"/>
    <d v="2025-02-08T00:00:00"/>
    <s v="F"/>
    <x v="1"/>
    <x v="0"/>
    <x v="0"/>
    <x v="3"/>
    <x v="1"/>
    <x v="5"/>
    <x v="2"/>
  </r>
  <r>
    <s v="TX500928"/>
    <x v="0"/>
    <x v="12"/>
    <n v="27.7"/>
    <x v="806"/>
    <x v="36"/>
    <d v="2025-02-08T00:00:00"/>
    <s v="F"/>
    <x v="0"/>
    <x v="0"/>
    <x v="0"/>
    <x v="3"/>
    <x v="1"/>
    <x v="5"/>
    <x v="2"/>
  </r>
  <r>
    <s v="TX500929"/>
    <x v="4"/>
    <x v="9"/>
    <n v="22.5"/>
    <x v="158"/>
    <x v="36"/>
    <d v="2025-02-08T00:00:00"/>
    <s v="F"/>
    <x v="4"/>
    <x v="2"/>
    <x v="0"/>
    <x v="3"/>
    <x v="1"/>
    <x v="5"/>
    <x v="2"/>
  </r>
  <r>
    <s v="TX500930"/>
    <x v="17"/>
    <x v="9"/>
    <n v="21.6"/>
    <x v="807"/>
    <x v="36"/>
    <d v="2025-02-14T00:00:00"/>
    <s v="F"/>
    <x v="0"/>
    <x v="1"/>
    <x v="0"/>
    <x v="3"/>
    <x v="9"/>
    <x v="5"/>
    <x v="2"/>
  </r>
  <r>
    <s v="TX500931"/>
    <x v="10"/>
    <x v="3"/>
    <n v="26.3"/>
    <x v="808"/>
    <x v="36"/>
    <d v="2025-02-06T00:00:00"/>
    <s v="F"/>
    <x v="2"/>
    <x v="1"/>
    <x v="0"/>
    <x v="3"/>
    <x v="7"/>
    <x v="5"/>
    <x v="2"/>
  </r>
  <r>
    <s v="TX500932"/>
    <x v="6"/>
    <x v="3"/>
    <n v="103"/>
    <x v="809"/>
    <x v="37"/>
    <d v="2025-02-08T00:00:00"/>
    <s v="M"/>
    <x v="0"/>
    <x v="2"/>
    <x v="0"/>
    <x v="6"/>
    <x v="3"/>
    <x v="5"/>
    <x v="1"/>
  </r>
  <r>
    <s v="TX500933"/>
    <x v="5"/>
    <x v="20"/>
    <n v="46.6"/>
    <x v="810"/>
    <x v="37"/>
    <d v="2025-02-08T00:00:00"/>
    <s v="F"/>
    <x v="0"/>
    <x v="1"/>
    <x v="0"/>
    <x v="6"/>
    <x v="3"/>
    <x v="5"/>
    <x v="2"/>
  </r>
  <r>
    <s v="TX500934"/>
    <x v="0"/>
    <x v="9"/>
    <n v="32.200000000000003"/>
    <x v="811"/>
    <x v="37"/>
    <d v="2025-02-10T00:00:00"/>
    <s v="F"/>
    <x v="0"/>
    <x v="2"/>
    <x v="0"/>
    <x v="36"/>
    <x v="2"/>
    <x v="5"/>
    <x v="2"/>
  </r>
  <r>
    <s v="TX500935"/>
    <x v="8"/>
    <x v="2"/>
    <n v="22"/>
    <x v="812"/>
    <x v="37"/>
    <d v="2025-02-14T00:00:00"/>
    <s v="M"/>
    <x v="1"/>
    <x v="0"/>
    <x v="0"/>
    <x v="7"/>
    <x v="6"/>
    <x v="5"/>
    <x v="1"/>
  </r>
  <r>
    <s v="TX500936"/>
    <x v="0"/>
    <x v="1"/>
    <n v="25.2"/>
    <x v="813"/>
    <x v="37"/>
    <d v="2025-02-11T00:00:00"/>
    <s v="F"/>
    <x v="0"/>
    <x v="0"/>
    <x v="0"/>
    <x v="7"/>
    <x v="5"/>
    <x v="5"/>
    <x v="2"/>
  </r>
  <r>
    <s v="TX500937"/>
    <x v="1"/>
    <x v="13"/>
    <n v="68.7"/>
    <x v="814"/>
    <x v="37"/>
    <d v="2025-02-09T00:00:00"/>
    <s v="M"/>
    <x v="4"/>
    <x v="0"/>
    <x v="0"/>
    <x v="8"/>
    <x v="1"/>
    <x v="5"/>
    <x v="1"/>
  </r>
  <r>
    <s v="TX500938"/>
    <x v="0"/>
    <x v="2"/>
    <n v="22.2"/>
    <x v="815"/>
    <x v="37"/>
    <d v="2025-02-10T00:00:00"/>
    <s v="M"/>
    <x v="2"/>
    <x v="2"/>
    <x v="0"/>
    <x v="8"/>
    <x v="2"/>
    <x v="5"/>
    <x v="1"/>
  </r>
  <r>
    <s v="TX500939"/>
    <x v="1"/>
    <x v="3"/>
    <n v="36"/>
    <x v="816"/>
    <x v="37"/>
    <d v="2025-02-08T00:00:00"/>
    <s v="F"/>
    <x v="1"/>
    <x v="0"/>
    <x v="0"/>
    <x v="8"/>
    <x v="3"/>
    <x v="5"/>
    <x v="2"/>
  </r>
  <r>
    <s v="TX500940"/>
    <x v="18"/>
    <x v="0"/>
    <n v="50.6"/>
    <x v="578"/>
    <x v="37"/>
    <d v="2025-02-09T00:00:00"/>
    <s v="F"/>
    <x v="0"/>
    <x v="1"/>
    <x v="0"/>
    <x v="8"/>
    <x v="1"/>
    <x v="5"/>
    <x v="2"/>
  </r>
  <r>
    <s v="TX500941"/>
    <x v="15"/>
    <x v="1"/>
    <n v="44.9"/>
    <x v="817"/>
    <x v="37"/>
    <d v="2025-02-09T00:00:00"/>
    <s v="M"/>
    <x v="0"/>
    <x v="1"/>
    <x v="0"/>
    <x v="8"/>
    <x v="1"/>
    <x v="5"/>
    <x v="1"/>
  </r>
  <r>
    <s v="TX500942"/>
    <x v="6"/>
    <x v="2"/>
    <n v="71.599999999999994"/>
    <x v="818"/>
    <x v="37"/>
    <d v="2025-02-11T00:00:00"/>
    <s v="M"/>
    <x v="1"/>
    <x v="2"/>
    <x v="0"/>
    <x v="10"/>
    <x v="5"/>
    <x v="5"/>
    <x v="1"/>
  </r>
  <r>
    <s v="TX500943"/>
    <x v="6"/>
    <x v="13"/>
    <n v="51.5"/>
    <x v="15"/>
    <x v="37"/>
    <d v="2025-02-09T00:00:00"/>
    <s v=""/>
    <x v="4"/>
    <x v="0"/>
    <x v="0"/>
    <x v="11"/>
    <x v="1"/>
    <x v="5"/>
    <x v="0"/>
  </r>
  <r>
    <s v="TX500944"/>
    <x v="7"/>
    <x v="9"/>
    <n v="55.5"/>
    <x v="819"/>
    <x v="37"/>
    <d v="2025-02-08T00:00:00"/>
    <s v="M"/>
    <x v="1"/>
    <x v="1"/>
    <x v="0"/>
    <x v="11"/>
    <x v="3"/>
    <x v="5"/>
    <x v="1"/>
  </r>
  <r>
    <s v="TX500945"/>
    <x v="6"/>
    <x v="0"/>
    <n v="51.7"/>
    <x v="733"/>
    <x v="37"/>
    <d v="2025-02-21T00:00:00"/>
    <s v="M"/>
    <x v="2"/>
    <x v="0"/>
    <x v="0"/>
    <x v="19"/>
    <x v="12"/>
    <x v="5"/>
    <x v="1"/>
  </r>
  <r>
    <s v="TX500946"/>
    <x v="8"/>
    <x v="38"/>
    <n v="45.5"/>
    <x v="820"/>
    <x v="37"/>
    <d v="2025-02-08T00:00:00"/>
    <s v="F"/>
    <x v="3"/>
    <x v="2"/>
    <x v="0"/>
    <x v="19"/>
    <x v="3"/>
    <x v="5"/>
    <x v="2"/>
  </r>
  <r>
    <s v="TX500947"/>
    <x v="8"/>
    <x v="1"/>
    <n v="33.799999999999997"/>
    <x v="821"/>
    <x v="37"/>
    <d v="2025-02-13T00:00:00"/>
    <s v="F"/>
    <x v="3"/>
    <x v="0"/>
    <x v="0"/>
    <x v="20"/>
    <x v="4"/>
    <x v="5"/>
    <x v="2"/>
  </r>
  <r>
    <s v="TX500948"/>
    <x v="3"/>
    <x v="2"/>
    <n v="76.5"/>
    <x v="822"/>
    <x v="37"/>
    <d v="2025-02-08T00:00:00"/>
    <s v="F"/>
    <x v="0"/>
    <x v="1"/>
    <x v="0"/>
    <x v="21"/>
    <x v="3"/>
    <x v="5"/>
    <x v="2"/>
  </r>
  <r>
    <s v="TX500949"/>
    <x v="9"/>
    <x v="2"/>
    <n v="42.6"/>
    <x v="823"/>
    <x v="37"/>
    <d v="2025-02-13T00:00:00"/>
    <s v="F"/>
    <x v="2"/>
    <x v="2"/>
    <x v="0"/>
    <x v="2"/>
    <x v="4"/>
    <x v="5"/>
    <x v="2"/>
  </r>
  <r>
    <s v="TX500950"/>
    <x v="6"/>
    <x v="2"/>
    <n v="44.1"/>
    <x v="431"/>
    <x v="37"/>
    <d v="2025-02-09T00:00:00"/>
    <s v="F"/>
    <x v="1"/>
    <x v="1"/>
    <x v="0"/>
    <x v="22"/>
    <x v="1"/>
    <x v="5"/>
    <x v="2"/>
  </r>
  <r>
    <s v="TX500951"/>
    <x v="8"/>
    <x v="1"/>
    <n v="40.9"/>
    <x v="673"/>
    <x v="37"/>
    <d v="2025-02-11T00:00:00"/>
    <s v="M"/>
    <x v="0"/>
    <x v="0"/>
    <x v="0"/>
    <x v="3"/>
    <x v="5"/>
    <x v="5"/>
    <x v="1"/>
  </r>
  <r>
    <s v="TX500952"/>
    <x v="9"/>
    <x v="2"/>
    <n v="49.1"/>
    <x v="824"/>
    <x v="37"/>
    <d v="2025-02-11T00:00:00"/>
    <s v="F"/>
    <x v="3"/>
    <x v="1"/>
    <x v="0"/>
    <x v="3"/>
    <x v="5"/>
    <x v="5"/>
    <x v="2"/>
  </r>
  <r>
    <s v="TX500953"/>
    <x v="18"/>
    <x v="0"/>
    <n v="85.3"/>
    <x v="825"/>
    <x v="37"/>
    <d v="2025-02-11T00:00:00"/>
    <s v="M"/>
    <x v="1"/>
    <x v="1"/>
    <x v="0"/>
    <x v="3"/>
    <x v="5"/>
    <x v="5"/>
    <x v="1"/>
  </r>
  <r>
    <s v="TX500954"/>
    <x v="6"/>
    <x v="12"/>
    <n v="43.1"/>
    <x v="826"/>
    <x v="38"/>
    <d v="2025-02-11T00:00:00"/>
    <s v="M"/>
    <x v="0"/>
    <x v="0"/>
    <x v="0"/>
    <x v="3"/>
    <x v="2"/>
    <x v="5"/>
    <x v="1"/>
  </r>
  <r>
    <s v="TX500955"/>
    <x v="4"/>
    <x v="12"/>
    <n v="46.2"/>
    <x v="827"/>
    <x v="38"/>
    <d v="2025-02-09T00:00:00"/>
    <s v="M"/>
    <x v="2"/>
    <x v="0"/>
    <x v="0"/>
    <x v="3"/>
    <x v="3"/>
    <x v="5"/>
    <x v="1"/>
  </r>
  <r>
    <s v="TX500956"/>
    <x v="1"/>
    <x v="0"/>
    <n v="74.400000000000006"/>
    <x v="610"/>
    <x v="38"/>
    <d v="2025-02-10T00:00:00"/>
    <s v="M"/>
    <x v="4"/>
    <x v="2"/>
    <x v="0"/>
    <x v="3"/>
    <x v="1"/>
    <x v="5"/>
    <x v="1"/>
  </r>
  <r>
    <s v="TX500957"/>
    <x v="17"/>
    <x v="1"/>
    <n v="51.2"/>
    <x v="298"/>
    <x v="38"/>
    <d v="2025-02-09T00:00:00"/>
    <s v="M"/>
    <x v="1"/>
    <x v="0"/>
    <x v="0"/>
    <x v="3"/>
    <x v="3"/>
    <x v="5"/>
    <x v="1"/>
  </r>
  <r>
    <s v="TX500958"/>
    <x v="14"/>
    <x v="12"/>
    <n v="11.8"/>
    <x v="828"/>
    <x v="38"/>
    <d v="2025-02-08T00:00:00"/>
    <s v="M"/>
    <x v="2"/>
    <x v="0"/>
    <x v="0"/>
    <x v="3"/>
    <x v="7"/>
    <x v="5"/>
    <x v="1"/>
  </r>
  <r>
    <s v="TX500959"/>
    <x v="10"/>
    <x v="6"/>
    <n v="40.799999999999997"/>
    <x v="829"/>
    <x v="38"/>
    <d v="2025-02-09T00:00:00"/>
    <s v="F"/>
    <x v="3"/>
    <x v="2"/>
    <x v="0"/>
    <x v="3"/>
    <x v="3"/>
    <x v="5"/>
    <x v="2"/>
  </r>
  <r>
    <s v="TX500960"/>
    <x v="8"/>
    <x v="0"/>
    <n v="24.7"/>
    <x v="830"/>
    <x v="38"/>
    <d v="2025-02-10T00:00:00"/>
    <s v="F"/>
    <x v="2"/>
    <x v="1"/>
    <x v="0"/>
    <x v="3"/>
    <x v="1"/>
    <x v="5"/>
    <x v="2"/>
  </r>
  <r>
    <s v="TX500961"/>
    <x v="8"/>
    <x v="3"/>
    <n v="22.1"/>
    <x v="831"/>
    <x v="38"/>
    <d v="2025-02-08T00:00:00"/>
    <s v="F"/>
    <x v="2"/>
    <x v="4"/>
    <x v="0"/>
    <x v="3"/>
    <x v="7"/>
    <x v="5"/>
    <x v="2"/>
  </r>
  <r>
    <s v="TX500962"/>
    <x v="8"/>
    <x v="0"/>
    <n v="18.100000000000001"/>
    <x v="832"/>
    <x v="38"/>
    <d v="2025-02-12T00:00:00"/>
    <s v="M"/>
    <x v="3"/>
    <x v="2"/>
    <x v="0"/>
    <x v="3"/>
    <x v="5"/>
    <x v="5"/>
    <x v="1"/>
  </r>
  <r>
    <s v="TX500963"/>
    <x v="17"/>
    <x v="1"/>
    <n v="58.8"/>
    <x v="833"/>
    <x v="38"/>
    <d v="2025-02-11T00:00:00"/>
    <s v="F"/>
    <x v="0"/>
    <x v="0"/>
    <x v="0"/>
    <x v="25"/>
    <x v="2"/>
    <x v="5"/>
    <x v="2"/>
  </r>
  <r>
    <s v="TX500964"/>
    <x v="18"/>
    <x v="1"/>
    <n v="30.8"/>
    <x v="834"/>
    <x v="38"/>
    <d v="2025-02-09T00:00:00"/>
    <s v="F"/>
    <x v="0"/>
    <x v="0"/>
    <x v="0"/>
    <x v="6"/>
    <x v="3"/>
    <x v="5"/>
    <x v="2"/>
  </r>
  <r>
    <s v="TX500965"/>
    <x v="0"/>
    <x v="1"/>
    <n v="12"/>
    <x v="835"/>
    <x v="38"/>
    <d v="2025-02-12T00:00:00"/>
    <s v="F"/>
    <x v="0"/>
    <x v="0"/>
    <x v="0"/>
    <x v="6"/>
    <x v="5"/>
    <x v="5"/>
    <x v="2"/>
  </r>
  <r>
    <s v="TX500966"/>
    <x v="0"/>
    <x v="12"/>
    <n v="13.6"/>
    <x v="630"/>
    <x v="38"/>
    <d v="2025-02-11T00:00:00"/>
    <s v="M"/>
    <x v="2"/>
    <x v="0"/>
    <x v="0"/>
    <x v="6"/>
    <x v="2"/>
    <x v="5"/>
    <x v="1"/>
  </r>
  <r>
    <s v="TX500967"/>
    <x v="0"/>
    <x v="0"/>
    <n v="17.899999999999999"/>
    <x v="836"/>
    <x v="38"/>
    <d v="2025-02-09T00:00:00"/>
    <s v="M"/>
    <x v="3"/>
    <x v="0"/>
    <x v="0"/>
    <x v="6"/>
    <x v="3"/>
    <x v="5"/>
    <x v="1"/>
  </r>
  <r>
    <s v="TX500968"/>
    <x v="9"/>
    <x v="1"/>
    <n v="38.6"/>
    <x v="837"/>
    <x v="38"/>
    <d v="2025-02-12T00:00:00"/>
    <s v="F"/>
    <x v="4"/>
    <x v="0"/>
    <x v="0"/>
    <x v="7"/>
    <x v="5"/>
    <x v="5"/>
    <x v="2"/>
  </r>
  <r>
    <s v="TX500969"/>
    <x v="5"/>
    <x v="9"/>
    <n v="32.700000000000003"/>
    <x v="838"/>
    <x v="38"/>
    <d v="2025-02-09T00:00:00"/>
    <s v="M"/>
    <x v="2"/>
    <x v="2"/>
    <x v="0"/>
    <x v="8"/>
    <x v="3"/>
    <x v="5"/>
    <x v="1"/>
  </r>
  <r>
    <s v="TX500970"/>
    <x v="3"/>
    <x v="1"/>
    <n v="111.4"/>
    <x v="839"/>
    <x v="38"/>
    <d v="2025-02-09T00:00:00"/>
    <s v="F"/>
    <x v="1"/>
    <x v="0"/>
    <x v="0"/>
    <x v="8"/>
    <x v="3"/>
    <x v="5"/>
    <x v="2"/>
  </r>
  <r>
    <s v="TX500971"/>
    <x v="2"/>
    <x v="13"/>
    <n v="80.3"/>
    <x v="840"/>
    <x v="38"/>
    <d v="2025-02-10T00:00:00"/>
    <s v="F"/>
    <x v="1"/>
    <x v="0"/>
    <x v="0"/>
    <x v="8"/>
    <x v="1"/>
    <x v="5"/>
    <x v="2"/>
  </r>
  <r>
    <s v="TX500972"/>
    <x v="6"/>
    <x v="1"/>
    <n v="58.9"/>
    <x v="841"/>
    <x v="38"/>
    <d v="2025-02-09T00:00:00"/>
    <s v="M"/>
    <x v="1"/>
    <x v="0"/>
    <x v="0"/>
    <x v="8"/>
    <x v="3"/>
    <x v="5"/>
    <x v="1"/>
  </r>
  <r>
    <s v="TX500973"/>
    <x v="6"/>
    <x v="2"/>
    <n v="51.9"/>
    <x v="515"/>
    <x v="38"/>
    <d v="2025-02-10T00:00:00"/>
    <s v="F"/>
    <x v="1"/>
    <x v="4"/>
    <x v="0"/>
    <x v="8"/>
    <x v="1"/>
    <x v="5"/>
    <x v="2"/>
  </r>
  <r>
    <s v="TX500974"/>
    <x v="2"/>
    <x v="2"/>
    <n v="50.3"/>
    <x v="842"/>
    <x v="38"/>
    <d v="2025-02-09T00:00:00"/>
    <s v="M"/>
    <x v="2"/>
    <x v="0"/>
    <x v="0"/>
    <x v="17"/>
    <x v="3"/>
    <x v="5"/>
    <x v="1"/>
  </r>
  <r>
    <s v="TX500975"/>
    <x v="11"/>
    <x v="13"/>
    <n v="45"/>
    <x v="843"/>
    <x v="38"/>
    <d v="2025-02-14T00:00:00"/>
    <s v="F"/>
    <x v="3"/>
    <x v="0"/>
    <x v="0"/>
    <x v="9"/>
    <x v="4"/>
    <x v="5"/>
    <x v="2"/>
  </r>
  <r>
    <s v="TX500976"/>
    <x v="10"/>
    <x v="13"/>
    <n v="44.7"/>
    <x v="844"/>
    <x v="38"/>
    <d v="2025-02-10T00:00:00"/>
    <s v="F"/>
    <x v="2"/>
    <x v="0"/>
    <x v="0"/>
    <x v="11"/>
    <x v="1"/>
    <x v="5"/>
    <x v="2"/>
  </r>
  <r>
    <s v="TX500977"/>
    <x v="18"/>
    <x v="20"/>
    <n v="33"/>
    <x v="845"/>
    <x v="38"/>
    <d v="2025-02-09T00:00:00"/>
    <s v="F"/>
    <x v="2"/>
    <x v="0"/>
    <x v="0"/>
    <x v="11"/>
    <x v="3"/>
    <x v="5"/>
    <x v="2"/>
  </r>
  <r>
    <s v="TX500978"/>
    <x v="1"/>
    <x v="9"/>
    <n v="44.9"/>
    <x v="846"/>
    <x v="38"/>
    <d v="2025-02-11T00:00:00"/>
    <s v="F"/>
    <x v="2"/>
    <x v="2"/>
    <x v="0"/>
    <x v="18"/>
    <x v="2"/>
    <x v="5"/>
    <x v="2"/>
  </r>
  <r>
    <s v="TX500979"/>
    <x v="10"/>
    <x v="1"/>
    <n v="34.6"/>
    <x v="564"/>
    <x v="38"/>
    <d v="2025-02-12T00:00:00"/>
    <s v="F"/>
    <x v="0"/>
    <x v="1"/>
    <x v="0"/>
    <x v="19"/>
    <x v="5"/>
    <x v="5"/>
    <x v="2"/>
  </r>
  <r>
    <s v="TX500980"/>
    <x v="7"/>
    <x v="3"/>
    <n v="47.1"/>
    <x v="847"/>
    <x v="38"/>
    <d v="2025-02-13T00:00:00"/>
    <s v="F"/>
    <x v="0"/>
    <x v="0"/>
    <x v="0"/>
    <x v="13"/>
    <x v="0"/>
    <x v="5"/>
    <x v="2"/>
  </r>
  <r>
    <s v="TX500981"/>
    <x v="4"/>
    <x v="9"/>
    <n v="26.1"/>
    <x v="848"/>
    <x v="38"/>
    <d v="2025-02-13T00:00:00"/>
    <s v="M"/>
    <x v="0"/>
    <x v="2"/>
    <x v="0"/>
    <x v="21"/>
    <x v="0"/>
    <x v="5"/>
    <x v="1"/>
  </r>
  <r>
    <s v="TX500982"/>
    <x v="12"/>
    <x v="9"/>
    <n v="66.8"/>
    <x v="849"/>
    <x v="38"/>
    <d v="2025-02-11T00:00:00"/>
    <s v="F"/>
    <x v="0"/>
    <x v="0"/>
    <x v="0"/>
    <x v="21"/>
    <x v="2"/>
    <x v="5"/>
    <x v="2"/>
  </r>
  <r>
    <s v="TX500983"/>
    <x v="2"/>
    <x v="1"/>
    <n v="167.9"/>
    <x v="850"/>
    <x v="38"/>
    <d v="2025-02-09T00:00:00"/>
    <s v="F"/>
    <x v="3"/>
    <x v="2"/>
    <x v="0"/>
    <x v="21"/>
    <x v="3"/>
    <x v="5"/>
    <x v="2"/>
  </r>
  <r>
    <s v="TX500984"/>
    <x v="10"/>
    <x v="11"/>
    <n v="34.6"/>
    <x v="851"/>
    <x v="38"/>
    <d v="2025-02-09T00:00:00"/>
    <s v="F"/>
    <x v="2"/>
    <x v="1"/>
    <x v="0"/>
    <x v="21"/>
    <x v="3"/>
    <x v="5"/>
    <x v="2"/>
  </r>
  <r>
    <s v="TX500985"/>
    <x v="8"/>
    <x v="2"/>
    <n v="35.1"/>
    <x v="852"/>
    <x v="39"/>
    <d v="2025-02-13T00:00:00"/>
    <s v="M"/>
    <x v="4"/>
    <x v="2"/>
    <x v="0"/>
    <x v="1"/>
    <x v="5"/>
    <x v="6"/>
    <x v="1"/>
  </r>
  <r>
    <s v="TX500986"/>
    <x v="6"/>
    <x v="12"/>
    <n v="104.5"/>
    <x v="378"/>
    <x v="39"/>
    <d v="2025-02-10T00:00:00"/>
    <s v="M"/>
    <x v="1"/>
    <x v="1"/>
    <x v="0"/>
    <x v="1"/>
    <x v="3"/>
    <x v="6"/>
    <x v="1"/>
  </r>
  <r>
    <s v="TX500987"/>
    <x v="8"/>
    <x v="0"/>
    <n v="37.9"/>
    <x v="853"/>
    <x v="39"/>
    <d v="2025-02-11T00:00:00"/>
    <s v=""/>
    <x v="1"/>
    <x v="2"/>
    <x v="0"/>
    <x v="2"/>
    <x v="1"/>
    <x v="6"/>
    <x v="0"/>
  </r>
  <r>
    <s v="TX500988"/>
    <x v="4"/>
    <x v="2"/>
    <n v="25.5"/>
    <x v="514"/>
    <x v="39"/>
    <d v="2025-02-12T00:00:00"/>
    <s v="M"/>
    <x v="3"/>
    <x v="0"/>
    <x v="0"/>
    <x v="2"/>
    <x v="2"/>
    <x v="6"/>
    <x v="1"/>
  </r>
  <r>
    <s v="TX500989"/>
    <x v="0"/>
    <x v="2"/>
    <n v="32"/>
    <x v="854"/>
    <x v="39"/>
    <d v="2025-02-13T00:00:00"/>
    <s v="F"/>
    <x v="1"/>
    <x v="0"/>
    <x v="0"/>
    <x v="22"/>
    <x v="5"/>
    <x v="6"/>
    <x v="2"/>
  </r>
  <r>
    <s v="TX500990"/>
    <x v="1"/>
    <x v="0"/>
    <n v="47.1"/>
    <x v="392"/>
    <x v="39"/>
    <d v="2025-02-10T00:00:00"/>
    <s v="F"/>
    <x v="0"/>
    <x v="0"/>
    <x v="0"/>
    <x v="34"/>
    <x v="3"/>
    <x v="6"/>
    <x v="2"/>
  </r>
  <r>
    <s v="TX500991"/>
    <x v="6"/>
    <x v="1"/>
    <n v="50.6"/>
    <x v="855"/>
    <x v="39"/>
    <d v="2025-02-15T00:00:00"/>
    <s v=""/>
    <x v="0"/>
    <x v="0"/>
    <x v="0"/>
    <x v="3"/>
    <x v="4"/>
    <x v="6"/>
    <x v="0"/>
  </r>
  <r>
    <s v="TX500992"/>
    <x v="6"/>
    <x v="9"/>
    <n v="81.7"/>
    <x v="856"/>
    <x v="39"/>
    <d v="2025-02-10T00:00:00"/>
    <s v="F"/>
    <x v="1"/>
    <x v="2"/>
    <x v="0"/>
    <x v="3"/>
    <x v="3"/>
    <x v="6"/>
    <x v="2"/>
  </r>
  <r>
    <s v="TX500993"/>
    <x v="5"/>
    <x v="1"/>
    <n v="50.7"/>
    <x v="857"/>
    <x v="39"/>
    <d v="2025-02-10T00:00:00"/>
    <s v="O"/>
    <x v="2"/>
    <x v="2"/>
    <x v="0"/>
    <x v="3"/>
    <x v="3"/>
    <x v="6"/>
    <x v="3"/>
  </r>
  <r>
    <s v="TX500994"/>
    <x v="2"/>
    <x v="10"/>
    <n v="67.3"/>
    <x v="858"/>
    <x v="39"/>
    <d v="2025-02-13T00:00:00"/>
    <s v="F"/>
    <x v="2"/>
    <x v="0"/>
    <x v="0"/>
    <x v="3"/>
    <x v="5"/>
    <x v="6"/>
    <x v="2"/>
  </r>
  <r>
    <s v="TX500995"/>
    <x v="2"/>
    <x v="12"/>
    <n v="64.8"/>
    <x v="629"/>
    <x v="39"/>
    <d v="2025-02-12T00:00:00"/>
    <s v="F"/>
    <x v="3"/>
    <x v="0"/>
    <x v="0"/>
    <x v="3"/>
    <x v="2"/>
    <x v="6"/>
    <x v="2"/>
  </r>
  <r>
    <s v="TX500996"/>
    <x v="5"/>
    <x v="32"/>
    <n v="61.3"/>
    <x v="859"/>
    <x v="39"/>
    <d v="2025-02-10T00:00:00"/>
    <s v="F"/>
    <x v="0"/>
    <x v="2"/>
    <x v="0"/>
    <x v="3"/>
    <x v="3"/>
    <x v="6"/>
    <x v="2"/>
  </r>
  <r>
    <s v="TX500997"/>
    <x v="14"/>
    <x v="0"/>
    <n v="32.9"/>
    <x v="860"/>
    <x v="39"/>
    <d v="2025-02-12T00:00:00"/>
    <s v="F"/>
    <x v="4"/>
    <x v="0"/>
    <x v="0"/>
    <x v="3"/>
    <x v="2"/>
    <x v="6"/>
    <x v="2"/>
  </r>
  <r>
    <s v="TX500998"/>
    <x v="6"/>
    <x v="1"/>
    <n v="100.8"/>
    <x v="861"/>
    <x v="39"/>
    <d v="2025-02-12T00:00:00"/>
    <s v="F"/>
    <x v="0"/>
    <x v="0"/>
    <x v="0"/>
    <x v="3"/>
    <x v="2"/>
    <x v="6"/>
    <x v="2"/>
  </r>
  <r>
    <s v="TX500999"/>
    <x v="8"/>
    <x v="12"/>
    <n v="25.1"/>
    <x v="862"/>
    <x v="39"/>
    <d v="2025-02-11T00:00:00"/>
    <s v="F"/>
    <x v="1"/>
    <x v="0"/>
    <x v="0"/>
    <x v="3"/>
    <x v="1"/>
    <x v="6"/>
    <x v="2"/>
  </r>
  <r>
    <s v="TX501000"/>
    <x v="17"/>
    <x v="0"/>
    <n v="48.5"/>
    <x v="319"/>
    <x v="39"/>
    <d v="2025-02-10T00:00:00"/>
    <s v="F"/>
    <x v="0"/>
    <x v="1"/>
    <x v="0"/>
    <x v="3"/>
    <x v="3"/>
    <x v="6"/>
    <x v="2"/>
  </r>
  <r>
    <s v="TX501001"/>
    <x v="7"/>
    <x v="1"/>
    <n v="33.6"/>
    <x v="863"/>
    <x v="39"/>
    <d v="2025-02-13T00:00:00"/>
    <s v="F"/>
    <x v="2"/>
    <x v="2"/>
    <x v="0"/>
    <x v="3"/>
    <x v="5"/>
    <x v="6"/>
    <x v="2"/>
  </r>
  <r>
    <s v="TX501002"/>
    <x v="8"/>
    <x v="0"/>
    <n v="39.299999999999997"/>
    <x v="864"/>
    <x v="39"/>
    <d v="2025-02-20T00:00:00"/>
    <s v="F"/>
    <x v="1"/>
    <x v="1"/>
    <x v="0"/>
    <x v="49"/>
    <x v="11"/>
    <x v="6"/>
    <x v="2"/>
  </r>
  <r>
    <s v="TX501003"/>
    <x v="4"/>
    <x v="7"/>
    <n v="48.8"/>
    <x v="865"/>
    <x v="39"/>
    <d v="2025-02-11T00:00:00"/>
    <s v="F"/>
    <x v="3"/>
    <x v="1"/>
    <x v="0"/>
    <x v="25"/>
    <x v="1"/>
    <x v="6"/>
    <x v="2"/>
  </r>
  <r>
    <s v="TX501004"/>
    <x v="6"/>
    <x v="8"/>
    <n v="72.8"/>
    <x v="866"/>
    <x v="39"/>
    <d v="2025-02-11T00:00:00"/>
    <s v="M"/>
    <x v="1"/>
    <x v="2"/>
    <x v="0"/>
    <x v="5"/>
    <x v="1"/>
    <x v="6"/>
    <x v="1"/>
  </r>
  <r>
    <s v="TX501005"/>
    <x v="10"/>
    <x v="8"/>
    <n v="46.2"/>
    <x v="867"/>
    <x v="39"/>
    <d v="2025-02-10T00:00:00"/>
    <s v="M"/>
    <x v="3"/>
    <x v="4"/>
    <x v="0"/>
    <x v="5"/>
    <x v="3"/>
    <x v="6"/>
    <x v="1"/>
  </r>
  <r>
    <s v="TX501006"/>
    <x v="4"/>
    <x v="1"/>
    <n v="20.7"/>
    <x v="50"/>
    <x v="39"/>
    <d v="2025-02-10T00:00:00"/>
    <s v="F"/>
    <x v="2"/>
    <x v="3"/>
    <x v="0"/>
    <x v="6"/>
    <x v="3"/>
    <x v="6"/>
    <x v="2"/>
  </r>
  <r>
    <s v="TX501007"/>
    <x v="0"/>
    <x v="0"/>
    <n v="35.700000000000003"/>
    <x v="519"/>
    <x v="39"/>
    <d v="2025-02-11T00:00:00"/>
    <s v="F"/>
    <x v="3"/>
    <x v="0"/>
    <x v="0"/>
    <x v="6"/>
    <x v="1"/>
    <x v="6"/>
    <x v="2"/>
  </r>
  <r>
    <s v="TX501008"/>
    <x v="2"/>
    <x v="27"/>
    <n v="166.2"/>
    <x v="868"/>
    <x v="39"/>
    <d v="2025-02-11T00:00:00"/>
    <s v=""/>
    <x v="2"/>
    <x v="0"/>
    <x v="0"/>
    <x v="7"/>
    <x v="1"/>
    <x v="6"/>
    <x v="0"/>
  </r>
  <r>
    <s v="TX501009"/>
    <x v="6"/>
    <x v="12"/>
    <n v="85.8"/>
    <x v="869"/>
    <x v="39"/>
    <d v="2025-02-10T00:00:00"/>
    <s v="F"/>
    <x v="1"/>
    <x v="1"/>
    <x v="0"/>
    <x v="7"/>
    <x v="3"/>
    <x v="6"/>
    <x v="2"/>
  </r>
  <r>
    <s v="TX501010"/>
    <x v="8"/>
    <x v="2"/>
    <n v="26"/>
    <x v="292"/>
    <x v="39"/>
    <d v="2025-02-11T00:00:00"/>
    <s v="O"/>
    <x v="1"/>
    <x v="0"/>
    <x v="0"/>
    <x v="7"/>
    <x v="1"/>
    <x v="6"/>
    <x v="3"/>
  </r>
  <r>
    <s v="TX501011"/>
    <x v="2"/>
    <x v="15"/>
    <n v="116.6"/>
    <x v="870"/>
    <x v="39"/>
    <d v="2025-02-12T00:00:00"/>
    <s v="F"/>
    <x v="0"/>
    <x v="0"/>
    <x v="0"/>
    <x v="8"/>
    <x v="2"/>
    <x v="6"/>
    <x v="2"/>
  </r>
  <r>
    <s v="TX501012"/>
    <x v="9"/>
    <x v="3"/>
    <n v="53.9"/>
    <x v="871"/>
    <x v="39"/>
    <d v="2025-02-12T00:00:00"/>
    <s v="O"/>
    <x v="0"/>
    <x v="2"/>
    <x v="0"/>
    <x v="8"/>
    <x v="2"/>
    <x v="6"/>
    <x v="3"/>
  </r>
  <r>
    <s v="TX501013"/>
    <x v="12"/>
    <x v="9"/>
    <n v="72.3"/>
    <x v="785"/>
    <x v="39"/>
    <d v="2025-02-11T00:00:00"/>
    <s v=""/>
    <x v="2"/>
    <x v="2"/>
    <x v="0"/>
    <x v="8"/>
    <x v="1"/>
    <x v="6"/>
    <x v="0"/>
  </r>
  <r>
    <s v="TX501014"/>
    <x v="5"/>
    <x v="1"/>
    <n v="31.4"/>
    <x v="143"/>
    <x v="39"/>
    <d v="2025-02-11T00:00:00"/>
    <s v="F"/>
    <x v="0"/>
    <x v="0"/>
    <x v="0"/>
    <x v="8"/>
    <x v="1"/>
    <x v="6"/>
    <x v="2"/>
  </r>
  <r>
    <s v="TX501015"/>
    <x v="13"/>
    <x v="1"/>
    <n v="53.1"/>
    <x v="872"/>
    <x v="39"/>
    <d v="2025-02-12T00:00:00"/>
    <s v="M"/>
    <x v="1"/>
    <x v="0"/>
    <x v="0"/>
    <x v="8"/>
    <x v="2"/>
    <x v="6"/>
    <x v="1"/>
  </r>
  <r>
    <s v="TX501016"/>
    <x v="2"/>
    <x v="12"/>
    <n v="56.2"/>
    <x v="873"/>
    <x v="39"/>
    <d v="2025-02-10T00:00:00"/>
    <s v="F"/>
    <x v="0"/>
    <x v="0"/>
    <x v="0"/>
    <x v="8"/>
    <x v="3"/>
    <x v="6"/>
    <x v="2"/>
  </r>
  <r>
    <s v="TX501017"/>
    <x v="1"/>
    <x v="7"/>
    <n v="77.3"/>
    <x v="874"/>
    <x v="39"/>
    <d v="2025-02-10T00:00:00"/>
    <s v="F"/>
    <x v="2"/>
    <x v="0"/>
    <x v="0"/>
    <x v="11"/>
    <x v="3"/>
    <x v="6"/>
    <x v="2"/>
  </r>
  <r>
    <s v="TX501018"/>
    <x v="6"/>
    <x v="15"/>
    <n v="57.8"/>
    <x v="875"/>
    <x v="39"/>
    <d v="2025-02-10T00:00:00"/>
    <s v=""/>
    <x v="0"/>
    <x v="0"/>
    <x v="0"/>
    <x v="53"/>
    <x v="3"/>
    <x v="6"/>
    <x v="0"/>
  </r>
  <r>
    <s v="TX501019"/>
    <x v="12"/>
    <x v="20"/>
    <n v="42.1"/>
    <x v="876"/>
    <x v="39"/>
    <d v="2025-02-11T00:00:00"/>
    <s v="F"/>
    <x v="1"/>
    <x v="1"/>
    <x v="0"/>
    <x v="53"/>
    <x v="1"/>
    <x v="6"/>
    <x v="2"/>
  </r>
  <r>
    <s v="TX501020"/>
    <x v="8"/>
    <x v="11"/>
    <n v="22.8"/>
    <x v="877"/>
    <x v="39"/>
    <d v="2025-02-13T00:00:00"/>
    <s v="M"/>
    <x v="2"/>
    <x v="2"/>
    <x v="0"/>
    <x v="19"/>
    <x v="5"/>
    <x v="6"/>
    <x v="1"/>
  </r>
  <r>
    <s v="TX501021"/>
    <x v="2"/>
    <x v="2"/>
    <n v="171.1"/>
    <x v="878"/>
    <x v="40"/>
    <d v="2025-02-17T00:00:00"/>
    <s v="F"/>
    <x v="2"/>
    <x v="1"/>
    <x v="0"/>
    <x v="19"/>
    <x v="6"/>
    <x v="6"/>
    <x v="2"/>
  </r>
  <r>
    <s v="TX501022"/>
    <x v="8"/>
    <x v="0"/>
    <n v="28"/>
    <x v="879"/>
    <x v="40"/>
    <d v="2025-02-12T00:00:00"/>
    <s v="M"/>
    <x v="2"/>
    <x v="2"/>
    <x v="0"/>
    <x v="21"/>
    <x v="1"/>
    <x v="6"/>
    <x v="1"/>
  </r>
  <r>
    <s v="TX501023"/>
    <x v="6"/>
    <x v="3"/>
    <n v="50.2"/>
    <x v="880"/>
    <x v="40"/>
    <d v="2025-02-12T00:00:00"/>
    <s v="M"/>
    <x v="2"/>
    <x v="0"/>
    <x v="0"/>
    <x v="21"/>
    <x v="1"/>
    <x v="6"/>
    <x v="1"/>
  </r>
  <r>
    <s v="TX501024"/>
    <x v="6"/>
    <x v="1"/>
    <n v="56"/>
    <x v="881"/>
    <x v="40"/>
    <d v="2025-02-10T00:00:00"/>
    <s v="M"/>
    <x v="0"/>
    <x v="2"/>
    <x v="0"/>
    <x v="22"/>
    <x v="7"/>
    <x v="6"/>
    <x v="1"/>
  </r>
  <r>
    <s v="TX501025"/>
    <x v="1"/>
    <x v="1"/>
    <n v="38.299999999999997"/>
    <x v="882"/>
    <x v="40"/>
    <d v="2025-02-11T00:00:00"/>
    <s v="F"/>
    <x v="1"/>
    <x v="0"/>
    <x v="0"/>
    <x v="3"/>
    <x v="3"/>
    <x v="6"/>
    <x v="2"/>
  </r>
  <r>
    <s v="TX501026"/>
    <x v="0"/>
    <x v="9"/>
    <n v="22.3"/>
    <x v="883"/>
    <x v="40"/>
    <d v="2025-02-14T00:00:00"/>
    <s v="F"/>
    <x v="2"/>
    <x v="1"/>
    <x v="0"/>
    <x v="3"/>
    <x v="5"/>
    <x v="6"/>
    <x v="2"/>
  </r>
  <r>
    <s v="TX501027"/>
    <x v="0"/>
    <x v="2"/>
    <n v="22.3"/>
    <x v="884"/>
    <x v="40"/>
    <d v="2025-02-13T00:00:00"/>
    <s v="F"/>
    <x v="2"/>
    <x v="0"/>
    <x v="0"/>
    <x v="3"/>
    <x v="2"/>
    <x v="6"/>
    <x v="2"/>
  </r>
  <r>
    <s v="TX501028"/>
    <x v="1"/>
    <x v="0"/>
    <n v="32.9"/>
    <x v="860"/>
    <x v="40"/>
    <d v="2025-02-15T00:00:00"/>
    <s v="F"/>
    <x v="0"/>
    <x v="0"/>
    <x v="0"/>
    <x v="3"/>
    <x v="0"/>
    <x v="6"/>
    <x v="2"/>
  </r>
  <r>
    <s v="TX501029"/>
    <x v="10"/>
    <x v="2"/>
    <n v="31.9"/>
    <x v="802"/>
    <x v="40"/>
    <d v="2025-02-15T00:00:00"/>
    <s v="F"/>
    <x v="0"/>
    <x v="0"/>
    <x v="0"/>
    <x v="3"/>
    <x v="0"/>
    <x v="6"/>
    <x v="2"/>
  </r>
  <r>
    <s v="TX501030"/>
    <x v="6"/>
    <x v="1"/>
    <n v="94"/>
    <x v="885"/>
    <x v="40"/>
    <d v="2025-02-11T00:00:00"/>
    <s v="M"/>
    <x v="2"/>
    <x v="2"/>
    <x v="0"/>
    <x v="3"/>
    <x v="3"/>
    <x v="6"/>
    <x v="1"/>
  </r>
  <r>
    <s v="TX501031"/>
    <x v="10"/>
    <x v="1"/>
    <n v="30.7"/>
    <x v="886"/>
    <x v="40"/>
    <d v="2025-02-11T00:00:00"/>
    <s v="F"/>
    <x v="0"/>
    <x v="1"/>
    <x v="0"/>
    <x v="3"/>
    <x v="3"/>
    <x v="6"/>
    <x v="2"/>
  </r>
  <r>
    <s v="TX501032"/>
    <x v="5"/>
    <x v="9"/>
    <n v="90.5"/>
    <x v="887"/>
    <x v="40"/>
    <d v="2025-02-17T00:00:00"/>
    <s v="M"/>
    <x v="0"/>
    <x v="2"/>
    <x v="0"/>
    <x v="3"/>
    <x v="6"/>
    <x v="6"/>
    <x v="1"/>
  </r>
  <r>
    <s v="TX501033"/>
    <x v="8"/>
    <x v="9"/>
    <n v="25.3"/>
    <x v="888"/>
    <x v="40"/>
    <d v="2025-02-14T00:00:00"/>
    <s v="F"/>
    <x v="0"/>
    <x v="2"/>
    <x v="0"/>
    <x v="3"/>
    <x v="5"/>
    <x v="6"/>
    <x v="2"/>
  </r>
  <r>
    <s v="TX501034"/>
    <x v="6"/>
    <x v="2"/>
    <n v="58.1"/>
    <x v="889"/>
    <x v="40"/>
    <d v="2025-02-14T00:00:00"/>
    <s v=""/>
    <x v="0"/>
    <x v="2"/>
    <x v="0"/>
    <x v="3"/>
    <x v="5"/>
    <x v="6"/>
    <x v="0"/>
  </r>
  <r>
    <s v="TX501035"/>
    <x v="2"/>
    <x v="2"/>
    <n v="74.900000000000006"/>
    <x v="890"/>
    <x v="40"/>
    <d v="2025-02-11T00:00:00"/>
    <s v="F"/>
    <x v="4"/>
    <x v="0"/>
    <x v="0"/>
    <x v="3"/>
    <x v="3"/>
    <x v="6"/>
    <x v="2"/>
  </r>
  <r>
    <s v="TX501036"/>
    <x v="4"/>
    <x v="1"/>
    <n v="32.5"/>
    <x v="891"/>
    <x v="40"/>
    <d v="2025-02-11T00:00:00"/>
    <s v="M"/>
    <x v="2"/>
    <x v="2"/>
    <x v="0"/>
    <x v="43"/>
    <x v="3"/>
    <x v="6"/>
    <x v="1"/>
  </r>
  <r>
    <s v="TX501037"/>
    <x v="4"/>
    <x v="9"/>
    <n v="62"/>
    <x v="892"/>
    <x v="40"/>
    <d v="2025-02-11T00:00:00"/>
    <s v="M"/>
    <x v="4"/>
    <x v="2"/>
    <x v="0"/>
    <x v="25"/>
    <x v="3"/>
    <x v="6"/>
    <x v="1"/>
  </r>
  <r>
    <s v="TX501038"/>
    <x v="13"/>
    <x v="13"/>
    <n v="28.9"/>
    <x v="893"/>
    <x v="40"/>
    <d v="2025-02-13T00:00:00"/>
    <s v="F"/>
    <x v="0"/>
    <x v="1"/>
    <x v="0"/>
    <x v="6"/>
    <x v="2"/>
    <x v="6"/>
    <x v="2"/>
  </r>
  <r>
    <s v="TX501039"/>
    <x v="6"/>
    <x v="8"/>
    <n v="42.8"/>
    <x v="894"/>
    <x v="40"/>
    <d v="2025-02-12T00:00:00"/>
    <s v="F"/>
    <x v="0"/>
    <x v="2"/>
    <x v="0"/>
    <x v="6"/>
    <x v="1"/>
    <x v="6"/>
    <x v="2"/>
  </r>
  <r>
    <s v="TX501040"/>
    <x v="8"/>
    <x v="8"/>
    <n v="39.4"/>
    <x v="895"/>
    <x v="40"/>
    <d v="2025-02-12T00:00:00"/>
    <s v="M"/>
    <x v="0"/>
    <x v="0"/>
    <x v="0"/>
    <x v="36"/>
    <x v="1"/>
    <x v="6"/>
    <x v="1"/>
  </r>
  <r>
    <s v="TX501041"/>
    <x v="18"/>
    <x v="2"/>
    <n v="66.400000000000006"/>
    <x v="896"/>
    <x v="40"/>
    <d v="2025-02-11T00:00:00"/>
    <s v=""/>
    <x v="2"/>
    <x v="1"/>
    <x v="0"/>
    <x v="7"/>
    <x v="3"/>
    <x v="6"/>
    <x v="0"/>
  </r>
  <r>
    <s v="TX501042"/>
    <x v="17"/>
    <x v="12"/>
    <n v="35.9"/>
    <x v="897"/>
    <x v="40"/>
    <d v="2025-02-17T00:00:00"/>
    <s v="F"/>
    <x v="1"/>
    <x v="0"/>
    <x v="0"/>
    <x v="7"/>
    <x v="6"/>
    <x v="6"/>
    <x v="2"/>
  </r>
  <r>
    <s v="TX501043"/>
    <x v="0"/>
    <x v="12"/>
    <n v="26.9"/>
    <x v="799"/>
    <x v="40"/>
    <d v="2025-02-11T00:00:00"/>
    <s v="M"/>
    <x v="1"/>
    <x v="0"/>
    <x v="0"/>
    <x v="7"/>
    <x v="3"/>
    <x v="6"/>
    <x v="1"/>
  </r>
  <r>
    <s v="TX501044"/>
    <x v="2"/>
    <x v="0"/>
    <n v="55.1"/>
    <x v="898"/>
    <x v="40"/>
    <d v="2025-02-11T00:00:00"/>
    <s v="F"/>
    <x v="0"/>
    <x v="0"/>
    <x v="0"/>
    <x v="7"/>
    <x v="3"/>
    <x v="6"/>
    <x v="2"/>
  </r>
  <r>
    <s v="TX501045"/>
    <x v="4"/>
    <x v="1"/>
    <n v="23.9"/>
    <x v="538"/>
    <x v="40"/>
    <d v="2025-02-11T00:00:00"/>
    <s v="M"/>
    <x v="0"/>
    <x v="2"/>
    <x v="0"/>
    <x v="8"/>
    <x v="3"/>
    <x v="6"/>
    <x v="1"/>
  </r>
  <r>
    <s v="TX501046"/>
    <x v="9"/>
    <x v="15"/>
    <n v="21.1"/>
    <x v="899"/>
    <x v="40"/>
    <d v="2025-02-18T00:00:00"/>
    <s v="F"/>
    <x v="0"/>
    <x v="1"/>
    <x v="0"/>
    <x v="8"/>
    <x v="9"/>
    <x v="6"/>
    <x v="2"/>
  </r>
  <r>
    <s v="TX501047"/>
    <x v="8"/>
    <x v="9"/>
    <n v="33.799999999999997"/>
    <x v="900"/>
    <x v="40"/>
    <d v="2025-02-12T00:00:00"/>
    <s v="F"/>
    <x v="0"/>
    <x v="0"/>
    <x v="0"/>
    <x v="8"/>
    <x v="1"/>
    <x v="6"/>
    <x v="2"/>
  </r>
  <r>
    <s v="TX501048"/>
    <x v="2"/>
    <x v="12"/>
    <n v="56.1"/>
    <x v="901"/>
    <x v="40"/>
    <d v="2025-02-10T00:00:00"/>
    <s v="F"/>
    <x v="3"/>
    <x v="2"/>
    <x v="0"/>
    <x v="9"/>
    <x v="7"/>
    <x v="6"/>
    <x v="2"/>
  </r>
  <r>
    <s v="TX501049"/>
    <x v="3"/>
    <x v="0"/>
    <n v="58.5"/>
    <x v="902"/>
    <x v="41"/>
    <d v="2025-02-15T00:00:00"/>
    <s v="F"/>
    <x v="1"/>
    <x v="2"/>
    <x v="0"/>
    <x v="9"/>
    <x v="5"/>
    <x v="6"/>
    <x v="2"/>
  </r>
  <r>
    <s v="TX501050"/>
    <x v="6"/>
    <x v="0"/>
    <n v="84.2"/>
    <x v="903"/>
    <x v="41"/>
    <d v="2025-02-13T00:00:00"/>
    <s v="M"/>
    <x v="3"/>
    <x v="0"/>
    <x v="0"/>
    <x v="11"/>
    <x v="1"/>
    <x v="6"/>
    <x v="1"/>
  </r>
  <r>
    <s v="TX501051"/>
    <x v="11"/>
    <x v="12"/>
    <n v="52"/>
    <x v="904"/>
    <x v="41"/>
    <d v="2025-02-14T00:00:00"/>
    <s v="M"/>
    <x v="0"/>
    <x v="0"/>
    <x v="0"/>
    <x v="11"/>
    <x v="2"/>
    <x v="6"/>
    <x v="1"/>
  </r>
  <r>
    <s v="TX501052"/>
    <x v="4"/>
    <x v="9"/>
    <n v="31.5"/>
    <x v="905"/>
    <x v="41"/>
    <d v="2025-02-12T00:00:00"/>
    <s v="F"/>
    <x v="0"/>
    <x v="2"/>
    <x v="0"/>
    <x v="11"/>
    <x v="3"/>
    <x v="6"/>
    <x v="2"/>
  </r>
  <r>
    <s v="TX501053"/>
    <x v="16"/>
    <x v="2"/>
    <n v="46.2"/>
    <x v="209"/>
    <x v="41"/>
    <d v="2025-02-12T00:00:00"/>
    <s v="M"/>
    <x v="0"/>
    <x v="0"/>
    <x v="0"/>
    <x v="53"/>
    <x v="3"/>
    <x v="6"/>
    <x v="1"/>
  </r>
  <r>
    <s v="TX501054"/>
    <x v="2"/>
    <x v="13"/>
    <n v="135"/>
    <x v="906"/>
    <x v="41"/>
    <d v="2025-02-12T00:00:00"/>
    <s v="F"/>
    <x v="1"/>
    <x v="2"/>
    <x v="0"/>
    <x v="18"/>
    <x v="3"/>
    <x v="6"/>
    <x v="2"/>
  </r>
  <r>
    <s v="TX501055"/>
    <x v="12"/>
    <x v="2"/>
    <n v="92.2"/>
    <x v="907"/>
    <x v="41"/>
    <d v="2025-02-15T00:00:00"/>
    <s v="M"/>
    <x v="0"/>
    <x v="0"/>
    <x v="0"/>
    <x v="21"/>
    <x v="5"/>
    <x v="6"/>
    <x v="1"/>
  </r>
  <r>
    <s v="TX501056"/>
    <x v="8"/>
    <x v="0"/>
    <n v="36.6"/>
    <x v="547"/>
    <x v="41"/>
    <d v="2025-02-13T00:00:00"/>
    <s v="M"/>
    <x v="2"/>
    <x v="2"/>
    <x v="0"/>
    <x v="21"/>
    <x v="1"/>
    <x v="6"/>
    <x v="1"/>
  </r>
  <r>
    <s v="TX501057"/>
    <x v="9"/>
    <x v="1"/>
    <n v="50.6"/>
    <x v="855"/>
    <x v="41"/>
    <d v="2025-02-14T00:00:00"/>
    <s v="F"/>
    <x v="0"/>
    <x v="0"/>
    <x v="0"/>
    <x v="2"/>
    <x v="2"/>
    <x v="6"/>
    <x v="2"/>
  </r>
  <r>
    <s v="TX501058"/>
    <x v="18"/>
    <x v="3"/>
    <n v="56.7"/>
    <x v="908"/>
    <x v="41"/>
    <d v="2025-02-14T00:00:00"/>
    <s v="F"/>
    <x v="0"/>
    <x v="0"/>
    <x v="0"/>
    <x v="2"/>
    <x v="2"/>
    <x v="6"/>
    <x v="2"/>
  </r>
  <r>
    <s v="TX501059"/>
    <x v="9"/>
    <x v="15"/>
    <n v="22.9"/>
    <x v="909"/>
    <x v="41"/>
    <d v="2025-02-12T00:00:00"/>
    <s v="F"/>
    <x v="0"/>
    <x v="1"/>
    <x v="0"/>
    <x v="44"/>
    <x v="3"/>
    <x v="6"/>
    <x v="2"/>
  </r>
  <r>
    <s v="TX501060"/>
    <x v="15"/>
    <x v="10"/>
    <n v="53.6"/>
    <x v="910"/>
    <x v="41"/>
    <d v="2025-02-12T00:00:00"/>
    <s v="M"/>
    <x v="0"/>
    <x v="0"/>
    <x v="0"/>
    <x v="22"/>
    <x v="3"/>
    <x v="6"/>
    <x v="1"/>
  </r>
  <r>
    <s v="TX501061"/>
    <x v="18"/>
    <x v="1"/>
    <n v="30.2"/>
    <x v="266"/>
    <x v="41"/>
    <d v="2025-02-13T00:00:00"/>
    <s v=""/>
    <x v="2"/>
    <x v="2"/>
    <x v="0"/>
    <x v="3"/>
    <x v="1"/>
    <x v="6"/>
    <x v="0"/>
  </r>
  <r>
    <s v="TX501062"/>
    <x v="15"/>
    <x v="13"/>
    <n v="83.4"/>
    <x v="911"/>
    <x v="41"/>
    <d v="2025-02-12T00:00:00"/>
    <s v="M"/>
    <x v="1"/>
    <x v="2"/>
    <x v="0"/>
    <x v="3"/>
    <x v="3"/>
    <x v="6"/>
    <x v="1"/>
  </r>
  <r>
    <s v="TX501063"/>
    <x v="13"/>
    <x v="4"/>
    <n v="16.600000000000001"/>
    <x v="896"/>
    <x v="41"/>
    <d v="2025-02-13T00:00:00"/>
    <s v="M"/>
    <x v="1"/>
    <x v="0"/>
    <x v="0"/>
    <x v="3"/>
    <x v="1"/>
    <x v="6"/>
    <x v="1"/>
  </r>
  <r>
    <s v="TX501064"/>
    <x v="8"/>
    <x v="14"/>
    <n v="21.9"/>
    <x v="912"/>
    <x v="41"/>
    <d v="2025-02-13T00:00:00"/>
    <s v="F"/>
    <x v="4"/>
    <x v="1"/>
    <x v="0"/>
    <x v="3"/>
    <x v="1"/>
    <x v="6"/>
    <x v="2"/>
  </r>
  <r>
    <s v="TX501065"/>
    <x v="8"/>
    <x v="31"/>
    <n v="33.799999999999997"/>
    <x v="913"/>
    <x v="41"/>
    <d v="2025-02-13T00:00:00"/>
    <s v="M"/>
    <x v="2"/>
    <x v="4"/>
    <x v="0"/>
    <x v="3"/>
    <x v="1"/>
    <x v="6"/>
    <x v="1"/>
  </r>
  <r>
    <s v="TX501066"/>
    <x v="18"/>
    <x v="1"/>
    <n v="53.2"/>
    <x v="793"/>
    <x v="41"/>
    <d v="2025-02-11T00:00:00"/>
    <s v="M"/>
    <x v="1"/>
    <x v="0"/>
    <x v="0"/>
    <x v="3"/>
    <x v="7"/>
    <x v="6"/>
    <x v="1"/>
  </r>
  <r>
    <s v="TX501067"/>
    <x v="2"/>
    <x v="1"/>
    <n v="176.7"/>
    <x v="914"/>
    <x v="41"/>
    <d v="2025-02-14T00:00:00"/>
    <s v="F"/>
    <x v="2"/>
    <x v="0"/>
    <x v="0"/>
    <x v="3"/>
    <x v="2"/>
    <x v="6"/>
    <x v="2"/>
  </r>
  <r>
    <s v="TX501068"/>
    <x v="12"/>
    <x v="2"/>
    <n v="54"/>
    <x v="915"/>
    <x v="41"/>
    <d v="2025-02-14T00:00:00"/>
    <s v="M"/>
    <x v="0"/>
    <x v="1"/>
    <x v="0"/>
    <x v="3"/>
    <x v="2"/>
    <x v="6"/>
    <x v="1"/>
  </r>
  <r>
    <s v="TX501069"/>
    <x v="9"/>
    <x v="1"/>
    <n v="70.099999999999994"/>
    <x v="634"/>
    <x v="41"/>
    <d v="2025-02-19T00:00:00"/>
    <s v="F"/>
    <x v="3"/>
    <x v="2"/>
    <x v="0"/>
    <x v="3"/>
    <x v="9"/>
    <x v="6"/>
    <x v="2"/>
  </r>
  <r>
    <s v="TX501070"/>
    <x v="8"/>
    <x v="0"/>
    <n v="26.5"/>
    <x v="38"/>
    <x v="41"/>
    <d v="2025-02-13T00:00:00"/>
    <s v="F"/>
    <x v="1"/>
    <x v="0"/>
    <x v="0"/>
    <x v="3"/>
    <x v="1"/>
    <x v="6"/>
    <x v="2"/>
  </r>
  <r>
    <s v="TX501071"/>
    <x v="7"/>
    <x v="9"/>
    <n v="89"/>
    <x v="916"/>
    <x v="41"/>
    <d v="2025-02-13T00:00:00"/>
    <s v="M"/>
    <x v="2"/>
    <x v="4"/>
    <x v="0"/>
    <x v="3"/>
    <x v="1"/>
    <x v="6"/>
    <x v="1"/>
  </r>
  <r>
    <s v="TX501072"/>
    <x v="1"/>
    <x v="13"/>
    <n v="47"/>
    <x v="917"/>
    <x v="41"/>
    <d v="2025-02-14T00:00:00"/>
    <s v="F"/>
    <x v="3"/>
    <x v="0"/>
    <x v="0"/>
    <x v="24"/>
    <x v="2"/>
    <x v="6"/>
    <x v="2"/>
  </r>
  <r>
    <s v="TX501073"/>
    <x v="3"/>
    <x v="1"/>
    <n v="55.2"/>
    <x v="918"/>
    <x v="41"/>
    <d v="2025-02-14T00:00:00"/>
    <s v="M"/>
    <x v="1"/>
    <x v="1"/>
    <x v="0"/>
    <x v="6"/>
    <x v="2"/>
    <x v="6"/>
    <x v="1"/>
  </r>
  <r>
    <s v="TX501074"/>
    <x v="8"/>
    <x v="39"/>
    <n v="33.299999999999997"/>
    <x v="919"/>
    <x v="41"/>
    <d v="2025-02-25T00:00:00"/>
    <s v="M"/>
    <x v="1"/>
    <x v="2"/>
    <x v="0"/>
    <x v="6"/>
    <x v="12"/>
    <x v="6"/>
    <x v="1"/>
  </r>
  <r>
    <s v="TX501075"/>
    <x v="2"/>
    <x v="12"/>
    <n v="110.9"/>
    <x v="920"/>
    <x v="42"/>
    <d v="2025-02-12T00:00:00"/>
    <s v="M"/>
    <x v="2"/>
    <x v="4"/>
    <x v="0"/>
    <x v="6"/>
    <x v="7"/>
    <x v="6"/>
    <x v="1"/>
  </r>
  <r>
    <s v="TX501076"/>
    <x v="2"/>
    <x v="13"/>
    <n v="67.3"/>
    <x v="921"/>
    <x v="42"/>
    <d v="2025-02-13T00:00:00"/>
    <s v="M"/>
    <x v="0"/>
    <x v="0"/>
    <x v="0"/>
    <x v="8"/>
    <x v="3"/>
    <x v="6"/>
    <x v="1"/>
  </r>
  <r>
    <s v="TX501077"/>
    <x v="6"/>
    <x v="2"/>
    <n v="69.7"/>
    <x v="922"/>
    <x v="42"/>
    <d v="2025-02-13T00:00:00"/>
    <s v="M"/>
    <x v="2"/>
    <x v="1"/>
    <x v="0"/>
    <x v="8"/>
    <x v="3"/>
    <x v="6"/>
    <x v="1"/>
  </r>
  <r>
    <s v="TX501078"/>
    <x v="5"/>
    <x v="0"/>
    <n v="39.1"/>
    <x v="923"/>
    <x v="42"/>
    <d v="2025-02-17T00:00:00"/>
    <s v="M"/>
    <x v="0"/>
    <x v="1"/>
    <x v="0"/>
    <x v="17"/>
    <x v="0"/>
    <x v="6"/>
    <x v="1"/>
  </r>
  <r>
    <s v="TX501079"/>
    <x v="2"/>
    <x v="2"/>
    <n v="208.6"/>
    <x v="924"/>
    <x v="42"/>
    <d v="2025-02-12T00:00:00"/>
    <s v="M"/>
    <x v="4"/>
    <x v="2"/>
    <x v="0"/>
    <x v="17"/>
    <x v="7"/>
    <x v="6"/>
    <x v="1"/>
  </r>
  <r>
    <s v="TX501080"/>
    <x v="15"/>
    <x v="2"/>
    <n v="27.8"/>
    <x v="925"/>
    <x v="42"/>
    <d v="2025-02-13T00:00:00"/>
    <s v="M"/>
    <x v="3"/>
    <x v="1"/>
    <x v="0"/>
    <x v="11"/>
    <x v="3"/>
    <x v="6"/>
    <x v="1"/>
  </r>
  <r>
    <s v="TX501081"/>
    <x v="10"/>
    <x v="9"/>
    <n v="29.4"/>
    <x v="926"/>
    <x v="42"/>
    <d v="2025-02-14T00:00:00"/>
    <s v="F"/>
    <x v="0"/>
    <x v="0"/>
    <x v="0"/>
    <x v="11"/>
    <x v="1"/>
    <x v="6"/>
    <x v="2"/>
  </r>
  <r>
    <s v="TX501082"/>
    <x v="9"/>
    <x v="1"/>
    <n v="29.2"/>
    <x v="305"/>
    <x v="42"/>
    <d v="2025-02-14T00:00:00"/>
    <s v="F"/>
    <x v="1"/>
    <x v="2"/>
    <x v="0"/>
    <x v="20"/>
    <x v="1"/>
    <x v="6"/>
    <x v="2"/>
  </r>
  <r>
    <s v="TX501083"/>
    <x v="10"/>
    <x v="9"/>
    <n v="26.5"/>
    <x v="927"/>
    <x v="42"/>
    <d v="2025-02-14T00:00:00"/>
    <s v="F"/>
    <x v="0"/>
    <x v="0"/>
    <x v="0"/>
    <x v="52"/>
    <x v="1"/>
    <x v="6"/>
    <x v="2"/>
  </r>
  <r>
    <s v="TX501084"/>
    <x v="5"/>
    <x v="0"/>
    <n v="30.3"/>
    <x v="928"/>
    <x v="42"/>
    <d v="2025-02-13T00:00:00"/>
    <s v="F"/>
    <x v="4"/>
    <x v="1"/>
    <x v="0"/>
    <x v="13"/>
    <x v="3"/>
    <x v="6"/>
    <x v="2"/>
  </r>
  <r>
    <s v="TX501085"/>
    <x v="16"/>
    <x v="4"/>
    <n v="39.700000000000003"/>
    <x v="929"/>
    <x v="42"/>
    <d v="2025-02-13T00:00:00"/>
    <s v="F"/>
    <x v="0"/>
    <x v="0"/>
    <x v="0"/>
    <x v="21"/>
    <x v="3"/>
    <x v="6"/>
    <x v="2"/>
  </r>
  <r>
    <s v="TX501086"/>
    <x v="7"/>
    <x v="7"/>
    <n v="58.9"/>
    <x v="930"/>
    <x v="42"/>
    <d v="2025-02-14T00:00:00"/>
    <s v="F"/>
    <x v="1"/>
    <x v="4"/>
    <x v="0"/>
    <x v="21"/>
    <x v="1"/>
    <x v="6"/>
    <x v="2"/>
  </r>
  <r>
    <s v="TX501087"/>
    <x v="2"/>
    <x v="1"/>
    <n v="174.1"/>
    <x v="931"/>
    <x v="42"/>
    <d v="2025-02-14T00:00:00"/>
    <s v="F"/>
    <x v="0"/>
    <x v="1"/>
    <x v="0"/>
    <x v="46"/>
    <x v="1"/>
    <x v="6"/>
    <x v="2"/>
  </r>
  <r>
    <s v="TX501088"/>
    <x v="6"/>
    <x v="1"/>
    <n v="70.8"/>
    <x v="932"/>
    <x v="42"/>
    <d v="2025-02-15T00:00:00"/>
    <s v="M"/>
    <x v="2"/>
    <x v="0"/>
    <x v="0"/>
    <x v="22"/>
    <x v="2"/>
    <x v="6"/>
    <x v="1"/>
  </r>
  <r>
    <s v="TX501089"/>
    <x v="7"/>
    <x v="1"/>
    <n v="57.4"/>
    <x v="311"/>
    <x v="42"/>
    <d v="2025-02-14T00:00:00"/>
    <s v="F"/>
    <x v="1"/>
    <x v="1"/>
    <x v="0"/>
    <x v="34"/>
    <x v="1"/>
    <x v="6"/>
    <x v="2"/>
  </r>
  <r>
    <s v="TX501090"/>
    <x v="0"/>
    <x v="1"/>
    <n v="28.5"/>
    <x v="933"/>
    <x v="42"/>
    <d v="2025-02-14T00:00:00"/>
    <s v="M"/>
    <x v="3"/>
    <x v="1"/>
    <x v="0"/>
    <x v="3"/>
    <x v="1"/>
    <x v="6"/>
    <x v="1"/>
  </r>
  <r>
    <s v="TX501091"/>
    <x v="2"/>
    <x v="28"/>
    <n v="106.6"/>
    <x v="934"/>
    <x v="42"/>
    <d v="2025-02-13T00:00:00"/>
    <s v=""/>
    <x v="1"/>
    <x v="4"/>
    <x v="0"/>
    <x v="3"/>
    <x v="3"/>
    <x v="6"/>
    <x v="0"/>
  </r>
  <r>
    <s v="TX501092"/>
    <x v="2"/>
    <x v="2"/>
    <n v="119.7"/>
    <x v="935"/>
    <x v="42"/>
    <d v="2025-02-13T00:00:00"/>
    <s v="F"/>
    <x v="1"/>
    <x v="4"/>
    <x v="0"/>
    <x v="3"/>
    <x v="3"/>
    <x v="6"/>
    <x v="2"/>
  </r>
  <r>
    <s v="TX501093"/>
    <x v="18"/>
    <x v="0"/>
    <n v="73.3"/>
    <x v="936"/>
    <x v="42"/>
    <d v="2025-02-17T00:00:00"/>
    <s v="F"/>
    <x v="0"/>
    <x v="2"/>
    <x v="0"/>
    <x v="3"/>
    <x v="0"/>
    <x v="6"/>
    <x v="2"/>
  </r>
  <r>
    <s v="TX501094"/>
    <x v="0"/>
    <x v="1"/>
    <n v="25.8"/>
    <x v="937"/>
    <x v="42"/>
    <d v="2025-02-26T00:00:00"/>
    <s v="M"/>
    <x v="2"/>
    <x v="0"/>
    <x v="0"/>
    <x v="3"/>
    <x v="12"/>
    <x v="6"/>
    <x v="1"/>
  </r>
  <r>
    <s v="TX501095"/>
    <x v="17"/>
    <x v="2"/>
    <n v="49.1"/>
    <x v="824"/>
    <x v="42"/>
    <d v="2025-02-14T00:00:00"/>
    <s v="F"/>
    <x v="0"/>
    <x v="0"/>
    <x v="0"/>
    <x v="24"/>
    <x v="1"/>
    <x v="6"/>
    <x v="2"/>
  </r>
  <r>
    <s v="TX501096"/>
    <x v="1"/>
    <x v="0"/>
    <n v="44.9"/>
    <x v="938"/>
    <x v="42"/>
    <d v="2025-02-15T00:00:00"/>
    <s v="F"/>
    <x v="3"/>
    <x v="2"/>
    <x v="0"/>
    <x v="6"/>
    <x v="2"/>
    <x v="6"/>
    <x v="2"/>
  </r>
  <r>
    <s v="TX501097"/>
    <x v="15"/>
    <x v="3"/>
    <n v="29.9"/>
    <x v="549"/>
    <x v="42"/>
    <d v="2025-02-13T00:00:00"/>
    <s v="F"/>
    <x v="0"/>
    <x v="0"/>
    <x v="0"/>
    <x v="6"/>
    <x v="3"/>
    <x v="6"/>
    <x v="2"/>
  </r>
  <r>
    <s v="TX501098"/>
    <x v="7"/>
    <x v="1"/>
    <n v="54.3"/>
    <x v="939"/>
    <x v="43"/>
    <d v="2025-02-14T00:00:00"/>
    <s v="M"/>
    <x v="3"/>
    <x v="0"/>
    <x v="0"/>
    <x v="36"/>
    <x v="3"/>
    <x v="6"/>
    <x v="1"/>
  </r>
  <r>
    <s v="TX501099"/>
    <x v="9"/>
    <x v="12"/>
    <n v="57"/>
    <x v="416"/>
    <x v="43"/>
    <d v="2025-02-15T00:00:00"/>
    <s v="F"/>
    <x v="0"/>
    <x v="0"/>
    <x v="0"/>
    <x v="8"/>
    <x v="1"/>
    <x v="6"/>
    <x v="2"/>
  </r>
  <r>
    <s v="TX501100"/>
    <x v="2"/>
    <x v="0"/>
    <n v="139.19999999999999"/>
    <x v="388"/>
    <x v="43"/>
    <d v="2025-02-14T00:00:00"/>
    <s v="F"/>
    <x v="3"/>
    <x v="2"/>
    <x v="0"/>
    <x v="8"/>
    <x v="3"/>
    <x v="6"/>
    <x v="2"/>
  </r>
  <r>
    <s v="TX501101"/>
    <x v="10"/>
    <x v="0"/>
    <n v="33"/>
    <x v="940"/>
    <x v="43"/>
    <d v="2025-02-16T00:00:00"/>
    <s v="F"/>
    <x v="0"/>
    <x v="2"/>
    <x v="0"/>
    <x v="8"/>
    <x v="2"/>
    <x v="6"/>
    <x v="2"/>
  </r>
  <r>
    <s v="TX501102"/>
    <x v="11"/>
    <x v="13"/>
    <n v="80.2"/>
    <x v="941"/>
    <x v="43"/>
    <d v="2025-02-15T00:00:00"/>
    <s v="M"/>
    <x v="1"/>
    <x v="4"/>
    <x v="0"/>
    <x v="8"/>
    <x v="1"/>
    <x v="6"/>
    <x v="1"/>
  </r>
  <r>
    <s v="TX501103"/>
    <x v="18"/>
    <x v="8"/>
    <n v="49"/>
    <x v="942"/>
    <x v="43"/>
    <d v="2025-02-14T00:00:00"/>
    <s v=""/>
    <x v="2"/>
    <x v="1"/>
    <x v="0"/>
    <x v="9"/>
    <x v="3"/>
    <x v="6"/>
    <x v="0"/>
  </r>
  <r>
    <s v="TX501104"/>
    <x v="1"/>
    <x v="12"/>
    <n v="104.4"/>
    <x v="943"/>
    <x v="43"/>
    <d v="2025-02-13T00:00:00"/>
    <s v="F"/>
    <x v="0"/>
    <x v="0"/>
    <x v="0"/>
    <x v="9"/>
    <x v="7"/>
    <x v="6"/>
    <x v="2"/>
  </r>
  <r>
    <s v="TX501105"/>
    <x v="3"/>
    <x v="0"/>
    <n v="41.6"/>
    <x v="480"/>
    <x v="43"/>
    <d v="2025-02-16T00:00:00"/>
    <s v="M"/>
    <x v="3"/>
    <x v="0"/>
    <x v="0"/>
    <x v="11"/>
    <x v="2"/>
    <x v="6"/>
    <x v="1"/>
  </r>
  <r>
    <s v="TX501106"/>
    <x v="19"/>
    <x v="1"/>
    <n v="16.399999999999999"/>
    <x v="944"/>
    <x v="43"/>
    <d v="2025-02-14T00:00:00"/>
    <s v="O"/>
    <x v="0"/>
    <x v="2"/>
    <x v="0"/>
    <x v="11"/>
    <x v="3"/>
    <x v="6"/>
    <x v="3"/>
  </r>
  <r>
    <s v="TX501107"/>
    <x v="8"/>
    <x v="1"/>
    <n v="22"/>
    <x v="945"/>
    <x v="43"/>
    <d v="2025-02-14T00:00:00"/>
    <s v="M"/>
    <x v="2"/>
    <x v="2"/>
    <x v="0"/>
    <x v="53"/>
    <x v="3"/>
    <x v="6"/>
    <x v="1"/>
  </r>
  <r>
    <s v="TX501108"/>
    <x v="15"/>
    <x v="1"/>
    <n v="33.6"/>
    <x v="863"/>
    <x v="43"/>
    <d v="2025-02-18T00:00:00"/>
    <s v="F"/>
    <x v="0"/>
    <x v="0"/>
    <x v="0"/>
    <x v="21"/>
    <x v="0"/>
    <x v="6"/>
    <x v="2"/>
  </r>
  <r>
    <s v="TX501109"/>
    <x v="11"/>
    <x v="13"/>
    <n v="43"/>
    <x v="946"/>
    <x v="43"/>
    <d v="2025-02-14T00:00:00"/>
    <s v="F"/>
    <x v="2"/>
    <x v="0"/>
    <x v="0"/>
    <x v="21"/>
    <x v="3"/>
    <x v="6"/>
    <x v="2"/>
  </r>
  <r>
    <s v="TX501110"/>
    <x v="6"/>
    <x v="9"/>
    <n v="108.8"/>
    <x v="947"/>
    <x v="43"/>
    <d v="2025-02-16T00:00:00"/>
    <s v="F"/>
    <x v="4"/>
    <x v="2"/>
    <x v="0"/>
    <x v="21"/>
    <x v="2"/>
    <x v="6"/>
    <x v="2"/>
  </r>
  <r>
    <s v="TX501111"/>
    <x v="0"/>
    <x v="11"/>
    <n v="29.3"/>
    <x v="948"/>
    <x v="43"/>
    <d v="2025-02-15T00:00:00"/>
    <s v="M"/>
    <x v="4"/>
    <x v="2"/>
    <x v="0"/>
    <x v="21"/>
    <x v="1"/>
    <x v="6"/>
    <x v="1"/>
  </r>
  <r>
    <s v="TX501112"/>
    <x v="2"/>
    <x v="0"/>
    <n v="122.7"/>
    <x v="949"/>
    <x v="43"/>
    <d v="2025-02-16T00:00:00"/>
    <s v="O"/>
    <x v="0"/>
    <x v="2"/>
    <x v="0"/>
    <x v="1"/>
    <x v="2"/>
    <x v="6"/>
    <x v="3"/>
  </r>
  <r>
    <s v="TX501113"/>
    <x v="4"/>
    <x v="3"/>
    <n v="22.9"/>
    <x v="950"/>
    <x v="43"/>
    <d v="2025-02-14T00:00:00"/>
    <s v="F"/>
    <x v="0"/>
    <x v="0"/>
    <x v="0"/>
    <x v="42"/>
    <x v="3"/>
    <x v="6"/>
    <x v="2"/>
  </r>
  <r>
    <s v="TX501114"/>
    <x v="8"/>
    <x v="7"/>
    <n v="25.5"/>
    <x v="951"/>
    <x v="43"/>
    <d v="2025-02-20T00:00:00"/>
    <s v="F"/>
    <x v="0"/>
    <x v="0"/>
    <x v="0"/>
    <x v="33"/>
    <x v="6"/>
    <x v="6"/>
    <x v="2"/>
  </r>
  <r>
    <s v="TX501115"/>
    <x v="17"/>
    <x v="2"/>
    <n v="23.4"/>
    <x v="952"/>
    <x v="43"/>
    <d v="2025-02-17T00:00:00"/>
    <s v="F"/>
    <x v="0"/>
    <x v="2"/>
    <x v="0"/>
    <x v="3"/>
    <x v="5"/>
    <x v="6"/>
    <x v="2"/>
  </r>
  <r>
    <s v="TX501116"/>
    <x v="5"/>
    <x v="8"/>
    <n v="27.4"/>
    <x v="77"/>
    <x v="43"/>
    <d v="2025-02-16T00:00:00"/>
    <s v="F"/>
    <x v="2"/>
    <x v="0"/>
    <x v="0"/>
    <x v="3"/>
    <x v="2"/>
    <x v="6"/>
    <x v="2"/>
  </r>
  <r>
    <s v="TX501117"/>
    <x v="5"/>
    <x v="9"/>
    <n v="68.400000000000006"/>
    <x v="953"/>
    <x v="43"/>
    <d v="2025-02-14T00:00:00"/>
    <s v="F"/>
    <x v="0"/>
    <x v="0"/>
    <x v="0"/>
    <x v="3"/>
    <x v="3"/>
    <x v="6"/>
    <x v="2"/>
  </r>
  <r>
    <s v="TX501118"/>
    <x v="6"/>
    <x v="0"/>
    <n v="51.9"/>
    <x v="954"/>
    <x v="43"/>
    <d v="2025-02-13T00:00:00"/>
    <s v="F"/>
    <x v="0"/>
    <x v="0"/>
    <x v="0"/>
    <x v="3"/>
    <x v="7"/>
    <x v="6"/>
    <x v="2"/>
  </r>
  <r>
    <s v="TX501119"/>
    <x v="0"/>
    <x v="9"/>
    <n v="26.4"/>
    <x v="955"/>
    <x v="43"/>
    <d v="2025-02-16T00:00:00"/>
    <s v="F"/>
    <x v="0"/>
    <x v="2"/>
    <x v="0"/>
    <x v="3"/>
    <x v="2"/>
    <x v="6"/>
    <x v="2"/>
  </r>
  <r>
    <s v="TX501120"/>
    <x v="12"/>
    <x v="1"/>
    <n v="117"/>
    <x v="540"/>
    <x v="43"/>
    <d v="2025-02-14T00:00:00"/>
    <s v="F"/>
    <x v="1"/>
    <x v="1"/>
    <x v="0"/>
    <x v="3"/>
    <x v="3"/>
    <x v="6"/>
    <x v="2"/>
  </r>
  <r>
    <s v="TX501121"/>
    <x v="7"/>
    <x v="2"/>
    <n v="49.6"/>
    <x v="956"/>
    <x v="44"/>
    <d v="2025-02-16T00:00:00"/>
    <s v="F"/>
    <x v="0"/>
    <x v="0"/>
    <x v="0"/>
    <x v="3"/>
    <x v="1"/>
    <x v="6"/>
    <x v="2"/>
  </r>
  <r>
    <s v="TX501122"/>
    <x v="4"/>
    <x v="2"/>
    <n v="38"/>
    <x v="717"/>
    <x v="44"/>
    <d v="2025-02-17T00:00:00"/>
    <s v="M"/>
    <x v="2"/>
    <x v="4"/>
    <x v="0"/>
    <x v="3"/>
    <x v="2"/>
    <x v="6"/>
    <x v="1"/>
  </r>
  <r>
    <s v="TX501123"/>
    <x v="0"/>
    <x v="2"/>
    <n v="20.6"/>
    <x v="957"/>
    <x v="44"/>
    <d v="2025-02-16T00:00:00"/>
    <s v="F"/>
    <x v="4"/>
    <x v="2"/>
    <x v="0"/>
    <x v="3"/>
    <x v="1"/>
    <x v="6"/>
    <x v="2"/>
  </r>
  <r>
    <s v="TX501124"/>
    <x v="0"/>
    <x v="1"/>
    <n v="16"/>
    <x v="109"/>
    <x v="44"/>
    <d v="2025-02-15T00:00:00"/>
    <s v="M"/>
    <x v="1"/>
    <x v="1"/>
    <x v="0"/>
    <x v="49"/>
    <x v="3"/>
    <x v="6"/>
    <x v="1"/>
  </r>
  <r>
    <s v="TX501125"/>
    <x v="15"/>
    <x v="12"/>
    <n v="49.3"/>
    <x v="958"/>
    <x v="44"/>
    <d v="2025-02-15T00:00:00"/>
    <s v="F"/>
    <x v="2"/>
    <x v="0"/>
    <x v="0"/>
    <x v="23"/>
    <x v="3"/>
    <x v="6"/>
    <x v="2"/>
  </r>
  <r>
    <s v="TX501126"/>
    <x v="9"/>
    <x v="1"/>
    <n v="24.1"/>
    <x v="959"/>
    <x v="44"/>
    <d v="2025-02-18T00:00:00"/>
    <s v="F"/>
    <x v="0"/>
    <x v="0"/>
    <x v="0"/>
    <x v="6"/>
    <x v="5"/>
    <x v="6"/>
    <x v="2"/>
  </r>
  <r>
    <s v="TX501127"/>
    <x v="15"/>
    <x v="8"/>
    <n v="32.700000000000003"/>
    <x v="960"/>
    <x v="44"/>
    <d v="2025-02-15T00:00:00"/>
    <s v="F"/>
    <x v="1"/>
    <x v="0"/>
    <x v="0"/>
    <x v="6"/>
    <x v="3"/>
    <x v="6"/>
    <x v="2"/>
  </r>
  <r>
    <s v="TX501128"/>
    <x v="6"/>
    <x v="2"/>
    <n v="74.400000000000006"/>
    <x v="961"/>
    <x v="44"/>
    <d v="2025-02-15T00:00:00"/>
    <s v="F"/>
    <x v="3"/>
    <x v="2"/>
    <x v="0"/>
    <x v="8"/>
    <x v="3"/>
    <x v="6"/>
    <x v="2"/>
  </r>
  <r>
    <s v="TX501129"/>
    <x v="12"/>
    <x v="0"/>
    <n v="45.6"/>
    <x v="962"/>
    <x v="44"/>
    <d v="2025-02-18T00:00:00"/>
    <s v="F"/>
    <x v="4"/>
    <x v="0"/>
    <x v="0"/>
    <x v="8"/>
    <x v="5"/>
    <x v="6"/>
    <x v="2"/>
  </r>
  <r>
    <s v="TX501130"/>
    <x v="8"/>
    <x v="8"/>
    <n v="19.600000000000001"/>
    <x v="963"/>
    <x v="44"/>
    <d v="2025-02-27T00:00:00"/>
    <s v="F"/>
    <x v="0"/>
    <x v="0"/>
    <x v="0"/>
    <x v="8"/>
    <x v="10"/>
    <x v="6"/>
    <x v="2"/>
  </r>
  <r>
    <s v="TX501131"/>
    <x v="9"/>
    <x v="0"/>
    <n v="51.8"/>
    <x v="964"/>
    <x v="44"/>
    <d v="2025-02-15T00:00:00"/>
    <s v="F"/>
    <x v="1"/>
    <x v="0"/>
    <x v="0"/>
    <x v="8"/>
    <x v="3"/>
    <x v="6"/>
    <x v="2"/>
  </r>
  <r>
    <s v="TX501132"/>
    <x v="6"/>
    <x v="0"/>
    <n v="74.7"/>
    <x v="965"/>
    <x v="44"/>
    <d v="2025-02-15T00:00:00"/>
    <s v="M"/>
    <x v="0"/>
    <x v="1"/>
    <x v="0"/>
    <x v="8"/>
    <x v="3"/>
    <x v="6"/>
    <x v="1"/>
  </r>
  <r>
    <s v="TX501133"/>
    <x v="19"/>
    <x v="2"/>
    <n v="22.4"/>
    <x v="966"/>
    <x v="44"/>
    <d v="2025-02-15T00:00:00"/>
    <s v="F"/>
    <x v="1"/>
    <x v="2"/>
    <x v="0"/>
    <x v="9"/>
    <x v="3"/>
    <x v="6"/>
    <x v="2"/>
  </r>
  <r>
    <s v="TX501134"/>
    <x v="1"/>
    <x v="12"/>
    <n v="31.4"/>
    <x v="967"/>
    <x v="44"/>
    <d v="2025-02-15T00:00:00"/>
    <s v="F"/>
    <x v="1"/>
    <x v="0"/>
    <x v="0"/>
    <x v="9"/>
    <x v="3"/>
    <x v="6"/>
    <x v="2"/>
  </r>
  <r>
    <s v="TX501135"/>
    <x v="6"/>
    <x v="0"/>
    <n v="94"/>
    <x v="255"/>
    <x v="44"/>
    <d v="2025-02-14T00:00:00"/>
    <s v="F"/>
    <x v="1"/>
    <x v="2"/>
    <x v="0"/>
    <x v="10"/>
    <x v="7"/>
    <x v="6"/>
    <x v="2"/>
  </r>
  <r>
    <s v="TX501136"/>
    <x v="10"/>
    <x v="0"/>
    <n v="22.3"/>
    <x v="968"/>
    <x v="44"/>
    <d v="2025-02-15T00:00:00"/>
    <s v="M"/>
    <x v="4"/>
    <x v="0"/>
    <x v="0"/>
    <x v="20"/>
    <x v="3"/>
    <x v="6"/>
    <x v="1"/>
  </r>
  <r>
    <s v="TX501137"/>
    <x v="0"/>
    <x v="0"/>
    <n v="21.9"/>
    <x v="731"/>
    <x v="44"/>
    <d v="2025-02-17T00:00:00"/>
    <s v="F"/>
    <x v="2"/>
    <x v="0"/>
    <x v="0"/>
    <x v="21"/>
    <x v="2"/>
    <x v="6"/>
    <x v="2"/>
  </r>
  <r>
    <s v="TX501138"/>
    <x v="17"/>
    <x v="2"/>
    <n v="27"/>
    <x v="969"/>
    <x v="44"/>
    <d v="2025-02-16T00:00:00"/>
    <s v="F"/>
    <x v="4"/>
    <x v="2"/>
    <x v="0"/>
    <x v="2"/>
    <x v="1"/>
    <x v="6"/>
    <x v="2"/>
  </r>
  <r>
    <s v="TX501139"/>
    <x v="2"/>
    <x v="12"/>
    <n v="149.6"/>
    <x v="970"/>
    <x v="44"/>
    <d v="2025-02-14T00:00:00"/>
    <s v="F"/>
    <x v="4"/>
    <x v="0"/>
    <x v="0"/>
    <x v="22"/>
    <x v="7"/>
    <x v="6"/>
    <x v="2"/>
  </r>
  <r>
    <s v="TX501140"/>
    <x v="2"/>
    <x v="12"/>
    <n v="129.1"/>
    <x v="971"/>
    <x v="44"/>
    <d v="2025-02-24T00:00:00"/>
    <s v="M"/>
    <x v="0"/>
    <x v="1"/>
    <x v="0"/>
    <x v="3"/>
    <x v="14"/>
    <x v="6"/>
    <x v="1"/>
  </r>
  <r>
    <s v="TX501141"/>
    <x v="1"/>
    <x v="4"/>
    <n v="40.4"/>
    <x v="972"/>
    <x v="44"/>
    <d v="2025-02-15T00:00:00"/>
    <s v="M"/>
    <x v="1"/>
    <x v="1"/>
    <x v="0"/>
    <x v="3"/>
    <x v="3"/>
    <x v="6"/>
    <x v="1"/>
  </r>
  <r>
    <s v="TX501142"/>
    <x v="4"/>
    <x v="2"/>
    <n v="48.5"/>
    <x v="973"/>
    <x v="44"/>
    <d v="2025-02-16T00:00:00"/>
    <s v="F"/>
    <x v="0"/>
    <x v="4"/>
    <x v="0"/>
    <x v="3"/>
    <x v="1"/>
    <x v="6"/>
    <x v="2"/>
  </r>
  <r>
    <s v="TX501143"/>
    <x v="9"/>
    <x v="1"/>
    <n v="37.6"/>
    <x v="495"/>
    <x v="44"/>
    <d v="2025-02-16T00:00:00"/>
    <s v="F"/>
    <x v="1"/>
    <x v="2"/>
    <x v="0"/>
    <x v="3"/>
    <x v="1"/>
    <x v="6"/>
    <x v="2"/>
  </r>
  <r>
    <s v="TX501144"/>
    <x v="8"/>
    <x v="1"/>
    <n v="19.600000000000001"/>
    <x v="496"/>
    <x v="44"/>
    <d v="2025-02-15T00:00:00"/>
    <s v="M"/>
    <x v="3"/>
    <x v="4"/>
    <x v="0"/>
    <x v="43"/>
    <x v="3"/>
    <x v="6"/>
    <x v="1"/>
  </r>
  <r>
    <s v="TX501145"/>
    <x v="8"/>
    <x v="9"/>
    <n v="18.5"/>
    <x v="974"/>
    <x v="44"/>
    <d v="2025-02-15T00:00:00"/>
    <s v="F"/>
    <x v="2"/>
    <x v="1"/>
    <x v="0"/>
    <x v="6"/>
    <x v="3"/>
    <x v="6"/>
    <x v="2"/>
  </r>
  <r>
    <s v="TX501146"/>
    <x v="5"/>
    <x v="2"/>
    <n v="25.5"/>
    <x v="514"/>
    <x v="44"/>
    <d v="2025-02-16T00:00:00"/>
    <s v="F"/>
    <x v="4"/>
    <x v="1"/>
    <x v="0"/>
    <x v="6"/>
    <x v="1"/>
    <x v="6"/>
    <x v="2"/>
  </r>
  <r>
    <s v="TX501147"/>
    <x v="2"/>
    <x v="1"/>
    <n v="94.7"/>
    <x v="975"/>
    <x v="44"/>
    <d v="2025-02-15T00:00:00"/>
    <s v="F"/>
    <x v="2"/>
    <x v="0"/>
    <x v="0"/>
    <x v="36"/>
    <x v="3"/>
    <x v="6"/>
    <x v="2"/>
  </r>
  <r>
    <s v="TX501148"/>
    <x v="1"/>
    <x v="13"/>
    <n v="38.799999999999997"/>
    <x v="976"/>
    <x v="44"/>
    <d v="2025-02-19T00:00:00"/>
    <s v="F"/>
    <x v="2"/>
    <x v="2"/>
    <x v="0"/>
    <x v="8"/>
    <x v="0"/>
    <x v="6"/>
    <x v="2"/>
  </r>
  <r>
    <s v="TX501149"/>
    <x v="9"/>
    <x v="1"/>
    <n v="49.4"/>
    <x v="197"/>
    <x v="45"/>
    <d v="2025-02-23T00:00:00"/>
    <s v="M"/>
    <x v="4"/>
    <x v="1"/>
    <x v="0"/>
    <x v="8"/>
    <x v="9"/>
    <x v="6"/>
    <x v="1"/>
  </r>
  <r>
    <s v="TX501150"/>
    <x v="7"/>
    <x v="2"/>
    <n v="68"/>
    <x v="977"/>
    <x v="45"/>
    <d v="2025-02-18T00:00:00"/>
    <s v="M"/>
    <x v="0"/>
    <x v="2"/>
    <x v="0"/>
    <x v="8"/>
    <x v="2"/>
    <x v="6"/>
    <x v="1"/>
  </r>
  <r>
    <s v="TX501151"/>
    <x v="15"/>
    <x v="3"/>
    <n v="63.7"/>
    <x v="978"/>
    <x v="45"/>
    <d v="2025-02-16T00:00:00"/>
    <s v="F"/>
    <x v="2"/>
    <x v="2"/>
    <x v="0"/>
    <x v="8"/>
    <x v="3"/>
    <x v="6"/>
    <x v="2"/>
  </r>
  <r>
    <s v="TX501152"/>
    <x v="10"/>
    <x v="1"/>
    <n v="66.2"/>
    <x v="979"/>
    <x v="45"/>
    <d v="2025-02-16T00:00:00"/>
    <s v="F"/>
    <x v="4"/>
    <x v="2"/>
    <x v="0"/>
    <x v="17"/>
    <x v="3"/>
    <x v="6"/>
    <x v="2"/>
  </r>
  <r>
    <s v="TX501153"/>
    <x v="12"/>
    <x v="2"/>
    <n v="32.299999999999997"/>
    <x v="980"/>
    <x v="45"/>
    <d v="2025-02-16T00:00:00"/>
    <s v="O"/>
    <x v="2"/>
    <x v="1"/>
    <x v="0"/>
    <x v="9"/>
    <x v="3"/>
    <x v="6"/>
    <x v="3"/>
  </r>
  <r>
    <s v="TX501154"/>
    <x v="4"/>
    <x v="1"/>
    <n v="66.900000000000006"/>
    <x v="981"/>
    <x v="45"/>
    <d v="2025-02-18T00:00:00"/>
    <s v="M"/>
    <x v="1"/>
    <x v="0"/>
    <x v="0"/>
    <x v="11"/>
    <x v="2"/>
    <x v="6"/>
    <x v="1"/>
  </r>
  <r>
    <s v="TX501155"/>
    <x v="4"/>
    <x v="4"/>
    <n v="25.2"/>
    <x v="982"/>
    <x v="45"/>
    <d v="2025-02-19T00:00:00"/>
    <s v="F"/>
    <x v="0"/>
    <x v="1"/>
    <x v="0"/>
    <x v="11"/>
    <x v="5"/>
    <x v="6"/>
    <x v="2"/>
  </r>
  <r>
    <s v="TX501156"/>
    <x v="10"/>
    <x v="13"/>
    <n v="29.5"/>
    <x v="983"/>
    <x v="45"/>
    <d v="2025-02-16T00:00:00"/>
    <s v="M"/>
    <x v="2"/>
    <x v="0"/>
    <x v="0"/>
    <x v="11"/>
    <x v="3"/>
    <x v="6"/>
    <x v="1"/>
  </r>
  <r>
    <s v="TX501157"/>
    <x v="8"/>
    <x v="9"/>
    <n v="21.6"/>
    <x v="807"/>
    <x v="45"/>
    <d v="2025-02-17T00:00:00"/>
    <s v="F"/>
    <x v="0"/>
    <x v="2"/>
    <x v="0"/>
    <x v="32"/>
    <x v="1"/>
    <x v="6"/>
    <x v="2"/>
  </r>
  <r>
    <s v="TX501158"/>
    <x v="12"/>
    <x v="2"/>
    <n v="69"/>
    <x v="461"/>
    <x v="45"/>
    <d v="2025-02-16T00:00:00"/>
    <s v="F"/>
    <x v="0"/>
    <x v="0"/>
    <x v="0"/>
    <x v="18"/>
    <x v="3"/>
    <x v="6"/>
    <x v="2"/>
  </r>
  <r>
    <s v="TX501159"/>
    <x v="7"/>
    <x v="1"/>
    <n v="115"/>
    <x v="984"/>
    <x v="45"/>
    <d v="2025-02-19T00:00:00"/>
    <s v="M"/>
    <x v="0"/>
    <x v="2"/>
    <x v="0"/>
    <x v="18"/>
    <x v="5"/>
    <x v="6"/>
    <x v="1"/>
  </r>
  <r>
    <s v="TX501160"/>
    <x v="2"/>
    <x v="1"/>
    <n v="109.3"/>
    <x v="985"/>
    <x v="45"/>
    <d v="2025-02-17T00:00:00"/>
    <s v=""/>
    <x v="3"/>
    <x v="1"/>
    <x v="0"/>
    <x v="19"/>
    <x v="1"/>
    <x v="6"/>
    <x v="0"/>
  </r>
  <r>
    <s v="TX501161"/>
    <x v="9"/>
    <x v="1"/>
    <n v="66.599999999999994"/>
    <x v="986"/>
    <x v="45"/>
    <d v="2025-02-18T00:00:00"/>
    <s v=""/>
    <x v="4"/>
    <x v="1"/>
    <x v="0"/>
    <x v="19"/>
    <x v="2"/>
    <x v="6"/>
    <x v="0"/>
  </r>
  <r>
    <s v="TX501162"/>
    <x v="12"/>
    <x v="9"/>
    <n v="47.7"/>
    <x v="987"/>
    <x v="45"/>
    <d v="2025-02-16T00:00:00"/>
    <s v="M"/>
    <x v="3"/>
    <x v="2"/>
    <x v="0"/>
    <x v="21"/>
    <x v="3"/>
    <x v="6"/>
    <x v="1"/>
  </r>
  <r>
    <s v="TX501163"/>
    <x v="8"/>
    <x v="1"/>
    <n v="46"/>
    <x v="988"/>
    <x v="45"/>
    <d v="2025-02-16T00:00:00"/>
    <s v="F"/>
    <x v="4"/>
    <x v="4"/>
    <x v="0"/>
    <x v="22"/>
    <x v="3"/>
    <x v="6"/>
    <x v="2"/>
  </r>
  <r>
    <s v="TX501164"/>
    <x v="1"/>
    <x v="13"/>
    <n v="39.299999999999997"/>
    <x v="989"/>
    <x v="45"/>
    <d v="2025-02-17T00:00:00"/>
    <s v="M"/>
    <x v="3"/>
    <x v="2"/>
    <x v="0"/>
    <x v="3"/>
    <x v="1"/>
    <x v="6"/>
    <x v="1"/>
  </r>
  <r>
    <s v="TX501165"/>
    <x v="9"/>
    <x v="0"/>
    <n v="70.2"/>
    <x v="474"/>
    <x v="45"/>
    <d v="2025-02-16T00:00:00"/>
    <s v="F"/>
    <x v="0"/>
    <x v="4"/>
    <x v="0"/>
    <x v="3"/>
    <x v="3"/>
    <x v="6"/>
    <x v="2"/>
  </r>
  <r>
    <s v="TX501166"/>
    <x v="3"/>
    <x v="12"/>
    <n v="71.5"/>
    <x v="990"/>
    <x v="45"/>
    <d v="2025-02-15T00:00:00"/>
    <s v="F"/>
    <x v="1"/>
    <x v="2"/>
    <x v="0"/>
    <x v="3"/>
    <x v="7"/>
    <x v="6"/>
    <x v="2"/>
  </r>
  <r>
    <s v="TX501167"/>
    <x v="10"/>
    <x v="3"/>
    <n v="31"/>
    <x v="991"/>
    <x v="45"/>
    <d v="2025-02-22T00:00:00"/>
    <s v="F"/>
    <x v="3"/>
    <x v="2"/>
    <x v="0"/>
    <x v="3"/>
    <x v="6"/>
    <x v="6"/>
    <x v="2"/>
  </r>
  <r>
    <s v="TX501168"/>
    <x v="2"/>
    <x v="9"/>
    <n v="68.2"/>
    <x v="992"/>
    <x v="45"/>
    <d v="2025-02-20T00:00:00"/>
    <s v="F"/>
    <x v="0"/>
    <x v="2"/>
    <x v="0"/>
    <x v="3"/>
    <x v="0"/>
    <x v="6"/>
    <x v="2"/>
  </r>
  <r>
    <s v="TX501169"/>
    <x v="2"/>
    <x v="0"/>
    <n v="91.4"/>
    <x v="411"/>
    <x v="45"/>
    <d v="2025-02-19T00:00:00"/>
    <s v="F"/>
    <x v="1"/>
    <x v="2"/>
    <x v="0"/>
    <x v="6"/>
    <x v="5"/>
    <x v="6"/>
    <x v="2"/>
  </r>
  <r>
    <s v="TX501170"/>
    <x v="6"/>
    <x v="7"/>
    <n v="112.9"/>
    <x v="993"/>
    <x v="45"/>
    <d v="2025-02-16T00:00:00"/>
    <s v="F"/>
    <x v="0"/>
    <x v="0"/>
    <x v="0"/>
    <x v="6"/>
    <x v="3"/>
    <x v="6"/>
    <x v="2"/>
  </r>
  <r>
    <s v="TX501171"/>
    <x v="17"/>
    <x v="11"/>
    <n v="33.700000000000003"/>
    <x v="994"/>
    <x v="45"/>
    <d v="2025-02-16T00:00:00"/>
    <s v="F"/>
    <x v="1"/>
    <x v="2"/>
    <x v="0"/>
    <x v="8"/>
    <x v="3"/>
    <x v="6"/>
    <x v="2"/>
  </r>
  <r>
    <s v="TX501172"/>
    <x v="15"/>
    <x v="7"/>
    <n v="35.299999999999997"/>
    <x v="995"/>
    <x v="45"/>
    <d v="2025-02-17T00:00:00"/>
    <s v="M"/>
    <x v="2"/>
    <x v="0"/>
    <x v="0"/>
    <x v="8"/>
    <x v="1"/>
    <x v="6"/>
    <x v="1"/>
  </r>
  <r>
    <s v="TX501173"/>
    <x v="18"/>
    <x v="2"/>
    <n v="45.6"/>
    <x v="996"/>
    <x v="45"/>
    <d v="2025-02-19T00:00:00"/>
    <s v="M"/>
    <x v="3"/>
    <x v="0"/>
    <x v="0"/>
    <x v="8"/>
    <x v="5"/>
    <x v="6"/>
    <x v="1"/>
  </r>
  <r>
    <s v="TX501174"/>
    <x v="7"/>
    <x v="3"/>
    <n v="47.1"/>
    <x v="847"/>
    <x v="45"/>
    <d v="2025-02-16T00:00:00"/>
    <s v="F"/>
    <x v="4"/>
    <x v="2"/>
    <x v="0"/>
    <x v="9"/>
    <x v="3"/>
    <x v="6"/>
    <x v="2"/>
  </r>
  <r>
    <s v="TX501175"/>
    <x v="8"/>
    <x v="9"/>
    <n v="16.2"/>
    <x v="969"/>
    <x v="45"/>
    <d v="2025-02-17T00:00:00"/>
    <s v="F"/>
    <x v="3"/>
    <x v="2"/>
    <x v="0"/>
    <x v="19"/>
    <x v="1"/>
    <x v="6"/>
    <x v="2"/>
  </r>
  <r>
    <s v="TX501176"/>
    <x v="1"/>
    <x v="1"/>
    <n v="159.69999999999999"/>
    <x v="997"/>
    <x v="46"/>
    <d v="2025-02-17T00:00:00"/>
    <s v="M"/>
    <x v="4"/>
    <x v="0"/>
    <x v="0"/>
    <x v="13"/>
    <x v="3"/>
    <x v="7"/>
    <x v="1"/>
  </r>
  <r>
    <s v="TX501177"/>
    <x v="8"/>
    <x v="12"/>
    <n v="19"/>
    <x v="998"/>
    <x v="46"/>
    <d v="2025-02-23T00:00:00"/>
    <s v="F"/>
    <x v="2"/>
    <x v="2"/>
    <x v="0"/>
    <x v="21"/>
    <x v="6"/>
    <x v="7"/>
    <x v="2"/>
  </r>
  <r>
    <s v="TX501178"/>
    <x v="6"/>
    <x v="13"/>
    <n v="91.1"/>
    <x v="999"/>
    <x v="46"/>
    <d v="2025-02-25T00:00:00"/>
    <s v="F"/>
    <x v="4"/>
    <x v="0"/>
    <x v="0"/>
    <x v="21"/>
    <x v="8"/>
    <x v="7"/>
    <x v="2"/>
  </r>
  <r>
    <s v="TX501179"/>
    <x v="2"/>
    <x v="9"/>
    <n v="94.1"/>
    <x v="1000"/>
    <x v="46"/>
    <d v="2025-02-19T00:00:00"/>
    <s v=""/>
    <x v="1"/>
    <x v="1"/>
    <x v="0"/>
    <x v="21"/>
    <x v="2"/>
    <x v="7"/>
    <x v="0"/>
  </r>
  <r>
    <s v="TX501180"/>
    <x v="9"/>
    <x v="11"/>
    <n v="21.1"/>
    <x v="1001"/>
    <x v="46"/>
    <d v="2025-02-17T00:00:00"/>
    <s v="F"/>
    <x v="4"/>
    <x v="2"/>
    <x v="0"/>
    <x v="51"/>
    <x v="3"/>
    <x v="7"/>
    <x v="2"/>
  </r>
  <r>
    <s v="TX501181"/>
    <x v="8"/>
    <x v="3"/>
    <n v="15.3"/>
    <x v="1002"/>
    <x v="46"/>
    <d v="2025-02-24T00:00:00"/>
    <s v="F"/>
    <x v="2"/>
    <x v="0"/>
    <x v="0"/>
    <x v="1"/>
    <x v="9"/>
    <x v="7"/>
    <x v="2"/>
  </r>
  <r>
    <s v="TX501182"/>
    <x v="15"/>
    <x v="12"/>
    <n v="21.3"/>
    <x v="464"/>
    <x v="46"/>
    <d v="2025-02-19T00:00:00"/>
    <s v="M"/>
    <x v="1"/>
    <x v="0"/>
    <x v="0"/>
    <x v="3"/>
    <x v="2"/>
    <x v="7"/>
    <x v="1"/>
  </r>
  <r>
    <s v="TX501183"/>
    <x v="0"/>
    <x v="1"/>
    <n v="23.2"/>
    <x v="434"/>
    <x v="46"/>
    <d v="2025-02-16T00:00:00"/>
    <s v=""/>
    <x v="3"/>
    <x v="1"/>
    <x v="0"/>
    <x v="3"/>
    <x v="7"/>
    <x v="7"/>
    <x v="0"/>
  </r>
  <r>
    <s v="TX501184"/>
    <x v="4"/>
    <x v="2"/>
    <n v="25.7"/>
    <x v="1003"/>
    <x v="46"/>
    <d v="2025-02-17T00:00:00"/>
    <s v="M"/>
    <x v="4"/>
    <x v="0"/>
    <x v="0"/>
    <x v="3"/>
    <x v="3"/>
    <x v="7"/>
    <x v="1"/>
  </r>
  <r>
    <s v="TX501185"/>
    <x v="0"/>
    <x v="11"/>
    <n v="31.6"/>
    <x v="1004"/>
    <x v="46"/>
    <d v="2025-02-18T00:00:00"/>
    <s v="F"/>
    <x v="0"/>
    <x v="0"/>
    <x v="0"/>
    <x v="3"/>
    <x v="1"/>
    <x v="7"/>
    <x v="2"/>
  </r>
  <r>
    <s v="TX501186"/>
    <x v="6"/>
    <x v="0"/>
    <n v="64.2"/>
    <x v="1005"/>
    <x v="46"/>
    <d v="2025-02-21T00:00:00"/>
    <s v="M"/>
    <x v="0"/>
    <x v="0"/>
    <x v="0"/>
    <x v="3"/>
    <x v="0"/>
    <x v="7"/>
    <x v="1"/>
  </r>
  <r>
    <s v="TX501187"/>
    <x v="8"/>
    <x v="1"/>
    <n v="55.8"/>
    <x v="1006"/>
    <x v="46"/>
    <d v="2025-02-18T00:00:00"/>
    <s v=""/>
    <x v="0"/>
    <x v="0"/>
    <x v="0"/>
    <x v="3"/>
    <x v="1"/>
    <x v="7"/>
    <x v="0"/>
  </r>
  <r>
    <s v="TX501188"/>
    <x v="8"/>
    <x v="1"/>
    <n v="28.1"/>
    <x v="1007"/>
    <x v="46"/>
    <d v="2025-02-17T00:00:00"/>
    <s v="F"/>
    <x v="4"/>
    <x v="1"/>
    <x v="0"/>
    <x v="3"/>
    <x v="3"/>
    <x v="7"/>
    <x v="2"/>
  </r>
  <r>
    <s v="TX501189"/>
    <x v="0"/>
    <x v="1"/>
    <n v="11.6"/>
    <x v="772"/>
    <x v="46"/>
    <d v="2025-02-18T00:00:00"/>
    <s v="F"/>
    <x v="1"/>
    <x v="0"/>
    <x v="0"/>
    <x v="24"/>
    <x v="1"/>
    <x v="7"/>
    <x v="2"/>
  </r>
  <r>
    <s v="TX501190"/>
    <x v="5"/>
    <x v="2"/>
    <n v="50.4"/>
    <x v="277"/>
    <x v="46"/>
    <d v="2025-02-17T00:00:00"/>
    <s v="M"/>
    <x v="4"/>
    <x v="2"/>
    <x v="0"/>
    <x v="25"/>
    <x v="3"/>
    <x v="7"/>
    <x v="1"/>
  </r>
  <r>
    <s v="TX501191"/>
    <x v="6"/>
    <x v="13"/>
    <n v="48.3"/>
    <x v="1008"/>
    <x v="46"/>
    <d v="2025-02-20T00:00:00"/>
    <s v="F"/>
    <x v="0"/>
    <x v="0"/>
    <x v="0"/>
    <x v="25"/>
    <x v="5"/>
    <x v="7"/>
    <x v="2"/>
  </r>
  <r>
    <s v="TX501192"/>
    <x v="17"/>
    <x v="3"/>
    <n v="32.200000000000003"/>
    <x v="1009"/>
    <x v="46"/>
    <d v="2025-02-18T00:00:00"/>
    <s v="F"/>
    <x v="2"/>
    <x v="0"/>
    <x v="0"/>
    <x v="25"/>
    <x v="1"/>
    <x v="7"/>
    <x v="2"/>
  </r>
  <r>
    <s v="TX501193"/>
    <x v="7"/>
    <x v="31"/>
    <n v="48.5"/>
    <x v="1010"/>
    <x v="46"/>
    <d v="2025-02-17T00:00:00"/>
    <s v="M"/>
    <x v="0"/>
    <x v="0"/>
    <x v="0"/>
    <x v="5"/>
    <x v="3"/>
    <x v="7"/>
    <x v="1"/>
  </r>
  <r>
    <s v="TX501194"/>
    <x v="2"/>
    <x v="9"/>
    <n v="62"/>
    <x v="892"/>
    <x v="46"/>
    <d v="2025-02-19T00:00:00"/>
    <s v="F"/>
    <x v="1"/>
    <x v="0"/>
    <x v="0"/>
    <x v="6"/>
    <x v="2"/>
    <x v="7"/>
    <x v="2"/>
  </r>
  <r>
    <s v="TX501195"/>
    <x v="8"/>
    <x v="2"/>
    <n v="32.1"/>
    <x v="219"/>
    <x v="47"/>
    <d v="2025-02-19T00:00:00"/>
    <s v="M"/>
    <x v="0"/>
    <x v="0"/>
    <x v="0"/>
    <x v="6"/>
    <x v="1"/>
    <x v="7"/>
    <x v="1"/>
  </r>
  <r>
    <s v="TX501196"/>
    <x v="12"/>
    <x v="2"/>
    <n v="106.1"/>
    <x v="1011"/>
    <x v="47"/>
    <d v="2025-02-19T00:00:00"/>
    <s v="M"/>
    <x v="0"/>
    <x v="1"/>
    <x v="0"/>
    <x v="7"/>
    <x v="1"/>
    <x v="7"/>
    <x v="1"/>
  </r>
  <r>
    <s v="TX501197"/>
    <x v="10"/>
    <x v="2"/>
    <n v="23.5"/>
    <x v="1012"/>
    <x v="47"/>
    <d v="2025-02-20T00:00:00"/>
    <s v="M"/>
    <x v="0"/>
    <x v="4"/>
    <x v="0"/>
    <x v="7"/>
    <x v="2"/>
    <x v="7"/>
    <x v="1"/>
  </r>
  <r>
    <s v="TX501198"/>
    <x v="1"/>
    <x v="1"/>
    <n v="35.6"/>
    <x v="1013"/>
    <x v="47"/>
    <d v="2025-02-22T00:00:00"/>
    <s v="M"/>
    <x v="4"/>
    <x v="0"/>
    <x v="0"/>
    <x v="8"/>
    <x v="0"/>
    <x v="7"/>
    <x v="1"/>
  </r>
  <r>
    <s v="TX501199"/>
    <x v="1"/>
    <x v="1"/>
    <n v="63.5"/>
    <x v="520"/>
    <x v="47"/>
    <d v="2025-02-17T00:00:00"/>
    <s v="F"/>
    <x v="1"/>
    <x v="2"/>
    <x v="0"/>
    <x v="8"/>
    <x v="7"/>
    <x v="7"/>
    <x v="2"/>
  </r>
  <r>
    <s v="TX501200"/>
    <x v="6"/>
    <x v="3"/>
    <n v="82.9"/>
    <x v="1014"/>
    <x v="47"/>
    <d v="2025-02-22T00:00:00"/>
    <s v="F"/>
    <x v="4"/>
    <x v="0"/>
    <x v="0"/>
    <x v="9"/>
    <x v="0"/>
    <x v="7"/>
    <x v="2"/>
  </r>
  <r>
    <s v="TX501201"/>
    <x v="6"/>
    <x v="1"/>
    <n v="83.6"/>
    <x v="762"/>
    <x v="47"/>
    <d v="2025-02-22T00:00:00"/>
    <s v="F"/>
    <x v="0"/>
    <x v="0"/>
    <x v="0"/>
    <x v="11"/>
    <x v="0"/>
    <x v="7"/>
    <x v="2"/>
  </r>
  <r>
    <s v="TX501202"/>
    <x v="4"/>
    <x v="1"/>
    <n v="29.4"/>
    <x v="572"/>
    <x v="47"/>
    <d v="2025-02-17T00:00:00"/>
    <s v="F"/>
    <x v="0"/>
    <x v="1"/>
    <x v="0"/>
    <x v="30"/>
    <x v="7"/>
    <x v="7"/>
    <x v="2"/>
  </r>
  <r>
    <s v="TX501203"/>
    <x v="2"/>
    <x v="2"/>
    <n v="107.1"/>
    <x v="1015"/>
    <x v="47"/>
    <d v="2025-02-21T00:00:00"/>
    <s v="F"/>
    <x v="2"/>
    <x v="0"/>
    <x v="0"/>
    <x v="20"/>
    <x v="5"/>
    <x v="7"/>
    <x v="2"/>
  </r>
  <r>
    <s v="TX501204"/>
    <x v="2"/>
    <x v="0"/>
    <n v="62.7"/>
    <x v="1016"/>
    <x v="47"/>
    <d v="2025-02-21T00:00:00"/>
    <s v="M"/>
    <x v="1"/>
    <x v="0"/>
    <x v="0"/>
    <x v="21"/>
    <x v="5"/>
    <x v="7"/>
    <x v="1"/>
  </r>
  <r>
    <s v="TX501205"/>
    <x v="11"/>
    <x v="0"/>
    <n v="41.6"/>
    <x v="480"/>
    <x v="47"/>
    <d v="2025-02-18T00:00:00"/>
    <s v="M"/>
    <x v="0"/>
    <x v="1"/>
    <x v="0"/>
    <x v="1"/>
    <x v="3"/>
    <x v="7"/>
    <x v="1"/>
  </r>
  <r>
    <s v="TX501206"/>
    <x v="6"/>
    <x v="0"/>
    <n v="44.2"/>
    <x v="573"/>
    <x v="47"/>
    <d v="2025-02-18T00:00:00"/>
    <s v="O"/>
    <x v="0"/>
    <x v="1"/>
    <x v="0"/>
    <x v="1"/>
    <x v="3"/>
    <x v="7"/>
    <x v="3"/>
  </r>
  <r>
    <s v="TX501207"/>
    <x v="4"/>
    <x v="13"/>
    <n v="40.4"/>
    <x v="1017"/>
    <x v="47"/>
    <d v="2025-03-02T00:00:00"/>
    <s v="F"/>
    <x v="2"/>
    <x v="0"/>
    <x v="0"/>
    <x v="22"/>
    <x v="10"/>
    <x v="7"/>
    <x v="2"/>
  </r>
  <r>
    <s v="TX501208"/>
    <x v="15"/>
    <x v="13"/>
    <n v="59.6"/>
    <x v="1018"/>
    <x v="47"/>
    <d v="2025-02-18T00:00:00"/>
    <s v="F"/>
    <x v="4"/>
    <x v="0"/>
    <x v="0"/>
    <x v="34"/>
    <x v="3"/>
    <x v="7"/>
    <x v="2"/>
  </r>
  <r>
    <s v="TX501209"/>
    <x v="17"/>
    <x v="4"/>
    <n v="63.8"/>
    <x v="1019"/>
    <x v="47"/>
    <d v="2025-02-18T00:00:00"/>
    <s v="M"/>
    <x v="1"/>
    <x v="0"/>
    <x v="0"/>
    <x v="3"/>
    <x v="3"/>
    <x v="7"/>
    <x v="1"/>
  </r>
  <r>
    <s v="TX501210"/>
    <x v="9"/>
    <x v="13"/>
    <n v="30.8"/>
    <x v="827"/>
    <x v="47"/>
    <d v="2025-02-19T00:00:00"/>
    <s v="M"/>
    <x v="4"/>
    <x v="0"/>
    <x v="0"/>
    <x v="3"/>
    <x v="1"/>
    <x v="7"/>
    <x v="1"/>
  </r>
  <r>
    <s v="TX501211"/>
    <x v="1"/>
    <x v="1"/>
    <n v="41.5"/>
    <x v="470"/>
    <x v="47"/>
    <d v="2025-02-20T00:00:00"/>
    <s v="O"/>
    <x v="0"/>
    <x v="0"/>
    <x v="0"/>
    <x v="3"/>
    <x v="2"/>
    <x v="7"/>
    <x v="3"/>
  </r>
  <r>
    <s v="TX501212"/>
    <x v="10"/>
    <x v="12"/>
    <n v="44.7"/>
    <x v="1020"/>
    <x v="47"/>
    <d v="2025-02-19T00:00:00"/>
    <s v="F"/>
    <x v="2"/>
    <x v="1"/>
    <x v="0"/>
    <x v="3"/>
    <x v="1"/>
    <x v="7"/>
    <x v="2"/>
  </r>
  <r>
    <s v="TX501213"/>
    <x v="12"/>
    <x v="1"/>
    <n v="64.099999999999994"/>
    <x v="618"/>
    <x v="47"/>
    <d v="2025-02-21T00:00:00"/>
    <s v="F"/>
    <x v="1"/>
    <x v="4"/>
    <x v="0"/>
    <x v="3"/>
    <x v="5"/>
    <x v="7"/>
    <x v="2"/>
  </r>
  <r>
    <s v="TX501214"/>
    <x v="8"/>
    <x v="0"/>
    <n v="15.9"/>
    <x v="1021"/>
    <x v="47"/>
    <d v="2025-02-20T00:00:00"/>
    <s v=""/>
    <x v="1"/>
    <x v="0"/>
    <x v="0"/>
    <x v="3"/>
    <x v="2"/>
    <x v="7"/>
    <x v="0"/>
  </r>
  <r>
    <s v="TX501215"/>
    <x v="6"/>
    <x v="1"/>
    <n v="78.7"/>
    <x v="1022"/>
    <x v="47"/>
    <d v="2025-02-17T00:00:00"/>
    <s v="F"/>
    <x v="2"/>
    <x v="1"/>
    <x v="0"/>
    <x v="3"/>
    <x v="7"/>
    <x v="7"/>
    <x v="2"/>
  </r>
  <r>
    <s v="TX501216"/>
    <x v="5"/>
    <x v="4"/>
    <n v="29.6"/>
    <x v="1023"/>
    <x v="47"/>
    <d v="2025-02-21T00:00:00"/>
    <s v="M"/>
    <x v="2"/>
    <x v="4"/>
    <x v="0"/>
    <x v="3"/>
    <x v="5"/>
    <x v="7"/>
    <x v="1"/>
  </r>
  <r>
    <s v="TX501217"/>
    <x v="8"/>
    <x v="12"/>
    <n v="21.5"/>
    <x v="1024"/>
    <x v="47"/>
    <d v="2025-02-20T00:00:00"/>
    <s v="M"/>
    <x v="1"/>
    <x v="0"/>
    <x v="0"/>
    <x v="3"/>
    <x v="2"/>
    <x v="7"/>
    <x v="1"/>
  </r>
  <r>
    <s v="TX501218"/>
    <x v="9"/>
    <x v="2"/>
    <n v="74.900000000000006"/>
    <x v="890"/>
    <x v="47"/>
    <d v="2025-02-26T00:00:00"/>
    <s v="M"/>
    <x v="3"/>
    <x v="1"/>
    <x v="0"/>
    <x v="3"/>
    <x v="8"/>
    <x v="7"/>
    <x v="1"/>
  </r>
  <r>
    <s v="TX501219"/>
    <x v="10"/>
    <x v="13"/>
    <n v="45"/>
    <x v="843"/>
    <x v="47"/>
    <d v="2025-02-22T00:00:00"/>
    <s v="F"/>
    <x v="2"/>
    <x v="0"/>
    <x v="0"/>
    <x v="3"/>
    <x v="0"/>
    <x v="7"/>
    <x v="2"/>
  </r>
  <r>
    <s v="TX501220"/>
    <x v="7"/>
    <x v="33"/>
    <n v="37.9"/>
    <x v="1025"/>
    <x v="47"/>
    <d v="2025-02-18T00:00:00"/>
    <s v="M"/>
    <x v="0"/>
    <x v="0"/>
    <x v="0"/>
    <x v="3"/>
    <x v="3"/>
    <x v="7"/>
    <x v="1"/>
  </r>
  <r>
    <s v="TX501221"/>
    <x v="6"/>
    <x v="2"/>
    <n v="56.6"/>
    <x v="1026"/>
    <x v="47"/>
    <d v="2025-02-18T00:00:00"/>
    <s v="M"/>
    <x v="3"/>
    <x v="0"/>
    <x v="0"/>
    <x v="3"/>
    <x v="3"/>
    <x v="7"/>
    <x v="1"/>
  </r>
  <r>
    <s v="TX501222"/>
    <x v="3"/>
    <x v="15"/>
    <n v="84.5"/>
    <x v="1027"/>
    <x v="47"/>
    <d v="2025-02-20T00:00:00"/>
    <s v="F"/>
    <x v="1"/>
    <x v="4"/>
    <x v="0"/>
    <x v="3"/>
    <x v="2"/>
    <x v="7"/>
    <x v="2"/>
  </r>
  <r>
    <s v="TX501223"/>
    <x v="2"/>
    <x v="9"/>
    <n v="105.4"/>
    <x v="1028"/>
    <x v="47"/>
    <d v="2025-02-19T00:00:00"/>
    <s v="F"/>
    <x v="1"/>
    <x v="1"/>
    <x v="0"/>
    <x v="3"/>
    <x v="1"/>
    <x v="7"/>
    <x v="2"/>
  </r>
  <r>
    <s v="TX501224"/>
    <x v="18"/>
    <x v="3"/>
    <n v="39.4"/>
    <x v="1029"/>
    <x v="48"/>
    <d v="2025-02-18T00:00:00"/>
    <s v="M"/>
    <x v="1"/>
    <x v="0"/>
    <x v="0"/>
    <x v="37"/>
    <x v="7"/>
    <x v="7"/>
    <x v="1"/>
  </r>
  <r>
    <s v="TX501225"/>
    <x v="19"/>
    <x v="2"/>
    <n v="38"/>
    <x v="717"/>
    <x v="48"/>
    <d v="2025-02-21T00:00:00"/>
    <s v="M"/>
    <x v="4"/>
    <x v="1"/>
    <x v="0"/>
    <x v="6"/>
    <x v="2"/>
    <x v="7"/>
    <x v="1"/>
  </r>
  <r>
    <s v="TX501226"/>
    <x v="17"/>
    <x v="12"/>
    <n v="42.5"/>
    <x v="393"/>
    <x v="48"/>
    <d v="2025-02-20T00:00:00"/>
    <s v=""/>
    <x v="0"/>
    <x v="0"/>
    <x v="0"/>
    <x v="6"/>
    <x v="1"/>
    <x v="7"/>
    <x v="0"/>
  </r>
  <r>
    <s v="TX501227"/>
    <x v="15"/>
    <x v="0"/>
    <n v="62.3"/>
    <x v="1030"/>
    <x v="48"/>
    <d v="2025-02-27T00:00:00"/>
    <s v="M"/>
    <x v="0"/>
    <x v="2"/>
    <x v="0"/>
    <x v="6"/>
    <x v="8"/>
    <x v="7"/>
    <x v="1"/>
  </r>
  <r>
    <s v="TX501228"/>
    <x v="6"/>
    <x v="9"/>
    <n v="49.1"/>
    <x v="1031"/>
    <x v="48"/>
    <d v="2025-02-20T00:00:00"/>
    <s v="F"/>
    <x v="1"/>
    <x v="2"/>
    <x v="0"/>
    <x v="7"/>
    <x v="1"/>
    <x v="7"/>
    <x v="2"/>
  </r>
  <r>
    <s v="TX501229"/>
    <x v="3"/>
    <x v="1"/>
    <n v="30.5"/>
    <x v="170"/>
    <x v="48"/>
    <d v="2025-02-21T00:00:00"/>
    <s v="M"/>
    <x v="0"/>
    <x v="2"/>
    <x v="0"/>
    <x v="8"/>
    <x v="2"/>
    <x v="7"/>
    <x v="1"/>
  </r>
  <r>
    <s v="TX501230"/>
    <x v="2"/>
    <x v="1"/>
    <n v="154.80000000000001"/>
    <x v="141"/>
    <x v="48"/>
    <d v="2025-02-21T00:00:00"/>
    <s v="F"/>
    <x v="1"/>
    <x v="4"/>
    <x v="0"/>
    <x v="8"/>
    <x v="2"/>
    <x v="7"/>
    <x v="2"/>
  </r>
  <r>
    <s v="TX501231"/>
    <x v="6"/>
    <x v="0"/>
    <n v="45"/>
    <x v="583"/>
    <x v="48"/>
    <d v="2025-02-22T00:00:00"/>
    <s v="M"/>
    <x v="3"/>
    <x v="1"/>
    <x v="0"/>
    <x v="8"/>
    <x v="5"/>
    <x v="7"/>
    <x v="1"/>
  </r>
  <r>
    <s v="TX501232"/>
    <x v="0"/>
    <x v="3"/>
    <n v="15.3"/>
    <x v="1002"/>
    <x v="48"/>
    <d v="2025-02-19T00:00:00"/>
    <s v="M"/>
    <x v="0"/>
    <x v="2"/>
    <x v="0"/>
    <x v="8"/>
    <x v="3"/>
    <x v="7"/>
    <x v="1"/>
  </r>
  <r>
    <s v="TX501233"/>
    <x v="2"/>
    <x v="5"/>
    <n v="88.6"/>
    <x v="1032"/>
    <x v="48"/>
    <d v="2025-02-21T00:00:00"/>
    <s v="F"/>
    <x v="0"/>
    <x v="4"/>
    <x v="0"/>
    <x v="17"/>
    <x v="2"/>
    <x v="7"/>
    <x v="2"/>
  </r>
  <r>
    <s v="TX501234"/>
    <x v="9"/>
    <x v="1"/>
    <n v="49.7"/>
    <x v="1033"/>
    <x v="48"/>
    <d v="2025-02-20T00:00:00"/>
    <s v="O"/>
    <x v="4"/>
    <x v="0"/>
    <x v="0"/>
    <x v="10"/>
    <x v="1"/>
    <x v="7"/>
    <x v="3"/>
  </r>
  <r>
    <s v="TX501235"/>
    <x v="10"/>
    <x v="0"/>
    <n v="29"/>
    <x v="1034"/>
    <x v="48"/>
    <d v="2025-02-19T00:00:00"/>
    <s v="M"/>
    <x v="0"/>
    <x v="0"/>
    <x v="0"/>
    <x v="11"/>
    <x v="3"/>
    <x v="7"/>
    <x v="1"/>
  </r>
  <r>
    <s v="TX501236"/>
    <x v="1"/>
    <x v="0"/>
    <n v="60.7"/>
    <x v="1035"/>
    <x v="48"/>
    <d v="2025-02-19T00:00:00"/>
    <s v="O"/>
    <x v="0"/>
    <x v="1"/>
    <x v="0"/>
    <x v="11"/>
    <x v="3"/>
    <x v="7"/>
    <x v="3"/>
  </r>
  <r>
    <s v="TX501237"/>
    <x v="17"/>
    <x v="12"/>
    <n v="87.4"/>
    <x v="1036"/>
    <x v="48"/>
    <d v="2025-02-20T00:00:00"/>
    <s v=""/>
    <x v="0"/>
    <x v="0"/>
    <x v="0"/>
    <x v="11"/>
    <x v="1"/>
    <x v="7"/>
    <x v="0"/>
  </r>
  <r>
    <s v="TX501238"/>
    <x v="4"/>
    <x v="3"/>
    <n v="44.5"/>
    <x v="1037"/>
    <x v="48"/>
    <d v="2025-02-22T00:00:00"/>
    <s v="F"/>
    <x v="2"/>
    <x v="2"/>
    <x v="0"/>
    <x v="19"/>
    <x v="5"/>
    <x v="7"/>
    <x v="2"/>
  </r>
  <r>
    <s v="TX501239"/>
    <x v="2"/>
    <x v="0"/>
    <n v="141"/>
    <x v="1038"/>
    <x v="48"/>
    <d v="2025-02-19T00:00:00"/>
    <s v="M"/>
    <x v="4"/>
    <x v="2"/>
    <x v="0"/>
    <x v="19"/>
    <x v="3"/>
    <x v="7"/>
    <x v="1"/>
  </r>
  <r>
    <s v="TX501240"/>
    <x v="0"/>
    <x v="2"/>
    <n v="16.7"/>
    <x v="1039"/>
    <x v="48"/>
    <d v="2025-02-26T00:00:00"/>
    <s v="F"/>
    <x v="0"/>
    <x v="0"/>
    <x v="0"/>
    <x v="20"/>
    <x v="9"/>
    <x v="7"/>
    <x v="2"/>
  </r>
  <r>
    <s v="TX501241"/>
    <x v="1"/>
    <x v="1"/>
    <n v="77.5"/>
    <x v="1040"/>
    <x v="48"/>
    <d v="2025-02-19T00:00:00"/>
    <s v=""/>
    <x v="2"/>
    <x v="2"/>
    <x v="0"/>
    <x v="13"/>
    <x v="3"/>
    <x v="7"/>
    <x v="0"/>
  </r>
  <r>
    <s v="TX501242"/>
    <x v="2"/>
    <x v="1"/>
    <n v="163"/>
    <x v="1041"/>
    <x v="48"/>
    <d v="2025-02-24T00:00:00"/>
    <s v="F"/>
    <x v="4"/>
    <x v="0"/>
    <x v="0"/>
    <x v="21"/>
    <x v="4"/>
    <x v="7"/>
    <x v="2"/>
  </r>
  <r>
    <s v="TX501243"/>
    <x v="4"/>
    <x v="11"/>
    <n v="21.4"/>
    <x v="1042"/>
    <x v="48"/>
    <d v="2025-02-21T00:00:00"/>
    <s v="F"/>
    <x v="0"/>
    <x v="0"/>
    <x v="0"/>
    <x v="51"/>
    <x v="2"/>
    <x v="7"/>
    <x v="2"/>
  </r>
  <r>
    <s v="TX501244"/>
    <x v="10"/>
    <x v="5"/>
    <n v="31"/>
    <x v="992"/>
    <x v="48"/>
    <d v="2025-02-20T00:00:00"/>
    <s v="F"/>
    <x v="3"/>
    <x v="2"/>
    <x v="0"/>
    <x v="1"/>
    <x v="1"/>
    <x v="7"/>
    <x v="2"/>
  </r>
  <r>
    <s v="TX501245"/>
    <x v="7"/>
    <x v="1"/>
    <n v="34.299999999999997"/>
    <x v="1043"/>
    <x v="48"/>
    <d v="2025-02-20T00:00:00"/>
    <s v="F"/>
    <x v="0"/>
    <x v="3"/>
    <x v="0"/>
    <x v="1"/>
    <x v="1"/>
    <x v="7"/>
    <x v="2"/>
  </r>
  <r>
    <s v="TX501246"/>
    <x v="17"/>
    <x v="9"/>
    <n v="48.2"/>
    <x v="1044"/>
    <x v="48"/>
    <d v="2025-02-19T00:00:00"/>
    <s v="M"/>
    <x v="1"/>
    <x v="1"/>
    <x v="0"/>
    <x v="2"/>
    <x v="3"/>
    <x v="7"/>
    <x v="1"/>
  </r>
  <r>
    <s v="TX501247"/>
    <x v="10"/>
    <x v="0"/>
    <n v="51.4"/>
    <x v="1045"/>
    <x v="48"/>
    <d v="2025-02-19T00:00:00"/>
    <s v="M"/>
    <x v="0"/>
    <x v="0"/>
    <x v="0"/>
    <x v="3"/>
    <x v="3"/>
    <x v="7"/>
    <x v="1"/>
  </r>
  <r>
    <s v="TX501248"/>
    <x v="2"/>
    <x v="9"/>
    <n v="117.2"/>
    <x v="1046"/>
    <x v="48"/>
    <d v="2025-02-21T00:00:00"/>
    <s v="F"/>
    <x v="4"/>
    <x v="4"/>
    <x v="0"/>
    <x v="3"/>
    <x v="2"/>
    <x v="7"/>
    <x v="2"/>
  </r>
  <r>
    <s v="TX501249"/>
    <x v="8"/>
    <x v="0"/>
    <n v="38.1"/>
    <x v="220"/>
    <x v="48"/>
    <d v="2025-02-18T00:00:00"/>
    <s v="M"/>
    <x v="4"/>
    <x v="1"/>
    <x v="0"/>
    <x v="3"/>
    <x v="7"/>
    <x v="7"/>
    <x v="1"/>
  </r>
  <r>
    <s v="TX501250"/>
    <x v="0"/>
    <x v="1"/>
    <n v="44.1"/>
    <x v="1047"/>
    <x v="48"/>
    <d v="2025-02-20T00:00:00"/>
    <s v="F"/>
    <x v="2"/>
    <x v="0"/>
    <x v="0"/>
    <x v="3"/>
    <x v="1"/>
    <x v="7"/>
    <x v="2"/>
  </r>
  <r>
    <s v="TX501251"/>
    <x v="15"/>
    <x v="12"/>
    <n v="80.5"/>
    <x v="310"/>
    <x v="48"/>
    <d v="2025-02-23T00:00:00"/>
    <s v="M"/>
    <x v="0"/>
    <x v="0"/>
    <x v="0"/>
    <x v="3"/>
    <x v="0"/>
    <x v="7"/>
    <x v="1"/>
  </r>
  <r>
    <s v="TX501252"/>
    <x v="18"/>
    <x v="12"/>
    <n v="33.6"/>
    <x v="1048"/>
    <x v="48"/>
    <d v="2025-02-23T00:00:00"/>
    <s v=""/>
    <x v="0"/>
    <x v="2"/>
    <x v="0"/>
    <x v="3"/>
    <x v="0"/>
    <x v="7"/>
    <x v="0"/>
  </r>
  <r>
    <s v="TX501253"/>
    <x v="9"/>
    <x v="11"/>
    <n v="41.8"/>
    <x v="82"/>
    <x v="48"/>
    <d v="2025-02-19T00:00:00"/>
    <s v="F"/>
    <x v="0"/>
    <x v="1"/>
    <x v="0"/>
    <x v="3"/>
    <x v="3"/>
    <x v="7"/>
    <x v="2"/>
  </r>
  <r>
    <s v="TX501254"/>
    <x v="1"/>
    <x v="1"/>
    <n v="106.2"/>
    <x v="230"/>
    <x v="48"/>
    <d v="2025-02-18T00:00:00"/>
    <s v="F"/>
    <x v="4"/>
    <x v="2"/>
    <x v="0"/>
    <x v="3"/>
    <x v="7"/>
    <x v="7"/>
    <x v="2"/>
  </r>
  <r>
    <s v="TX501255"/>
    <x v="1"/>
    <x v="1"/>
    <n v="52.6"/>
    <x v="1049"/>
    <x v="48"/>
    <d v="2025-02-19T00:00:00"/>
    <s v="F"/>
    <x v="0"/>
    <x v="2"/>
    <x v="0"/>
    <x v="5"/>
    <x v="3"/>
    <x v="7"/>
    <x v="2"/>
  </r>
  <r>
    <s v="TX501256"/>
    <x v="11"/>
    <x v="3"/>
    <n v="68.5"/>
    <x v="1050"/>
    <x v="48"/>
    <d v="2025-02-19T00:00:00"/>
    <s v="F"/>
    <x v="1"/>
    <x v="0"/>
    <x v="0"/>
    <x v="5"/>
    <x v="3"/>
    <x v="7"/>
    <x v="2"/>
  </r>
  <r>
    <s v="TX501257"/>
    <x v="1"/>
    <x v="1"/>
    <n v="55.6"/>
    <x v="622"/>
    <x v="48"/>
    <d v="2025-02-20T00:00:00"/>
    <s v="M"/>
    <x v="1"/>
    <x v="2"/>
    <x v="0"/>
    <x v="6"/>
    <x v="1"/>
    <x v="7"/>
    <x v="1"/>
  </r>
  <r>
    <s v="TX501258"/>
    <x v="2"/>
    <x v="2"/>
    <n v="134.9"/>
    <x v="1051"/>
    <x v="48"/>
    <d v="2025-02-19T00:00:00"/>
    <s v="M"/>
    <x v="1"/>
    <x v="1"/>
    <x v="0"/>
    <x v="6"/>
    <x v="3"/>
    <x v="7"/>
    <x v="1"/>
  </r>
  <r>
    <s v="TX501259"/>
    <x v="10"/>
    <x v="9"/>
    <n v="42.6"/>
    <x v="226"/>
    <x v="48"/>
    <d v="2025-02-19T00:00:00"/>
    <s v="M"/>
    <x v="0"/>
    <x v="0"/>
    <x v="0"/>
    <x v="6"/>
    <x v="3"/>
    <x v="7"/>
    <x v="1"/>
  </r>
  <r>
    <s v="TX501260"/>
    <x v="7"/>
    <x v="9"/>
    <n v="60.6"/>
    <x v="1052"/>
    <x v="48"/>
    <d v="2025-02-20T00:00:00"/>
    <s v="M"/>
    <x v="4"/>
    <x v="0"/>
    <x v="0"/>
    <x v="6"/>
    <x v="1"/>
    <x v="7"/>
    <x v="1"/>
  </r>
  <r>
    <s v="TX501261"/>
    <x v="8"/>
    <x v="1"/>
    <n v="43.5"/>
    <x v="1053"/>
    <x v="48"/>
    <d v="2025-02-19T00:00:00"/>
    <s v="M"/>
    <x v="4"/>
    <x v="0"/>
    <x v="0"/>
    <x v="7"/>
    <x v="3"/>
    <x v="7"/>
    <x v="1"/>
  </r>
  <r>
    <s v="TX501262"/>
    <x v="2"/>
    <x v="1"/>
    <n v="187.1"/>
    <x v="1054"/>
    <x v="48"/>
    <d v="2025-02-19T00:00:00"/>
    <s v="M"/>
    <x v="1"/>
    <x v="2"/>
    <x v="0"/>
    <x v="8"/>
    <x v="3"/>
    <x v="7"/>
    <x v="1"/>
  </r>
  <r>
    <s v="TX501263"/>
    <x v="9"/>
    <x v="2"/>
    <n v="32"/>
    <x v="854"/>
    <x v="48"/>
    <d v="2025-02-20T00:00:00"/>
    <s v="M"/>
    <x v="0"/>
    <x v="0"/>
    <x v="0"/>
    <x v="8"/>
    <x v="1"/>
    <x v="7"/>
    <x v="1"/>
  </r>
  <r>
    <s v="TX501264"/>
    <x v="9"/>
    <x v="1"/>
    <n v="110.8"/>
    <x v="1055"/>
    <x v="48"/>
    <d v="2025-02-18T00:00:00"/>
    <s v="M"/>
    <x v="0"/>
    <x v="2"/>
    <x v="0"/>
    <x v="8"/>
    <x v="7"/>
    <x v="7"/>
    <x v="1"/>
  </r>
  <r>
    <s v="TX501265"/>
    <x v="10"/>
    <x v="15"/>
    <n v="36.1"/>
    <x v="1056"/>
    <x v="48"/>
    <d v="2025-02-21T00:00:00"/>
    <s v="F"/>
    <x v="0"/>
    <x v="1"/>
    <x v="0"/>
    <x v="8"/>
    <x v="2"/>
    <x v="7"/>
    <x v="2"/>
  </r>
  <r>
    <s v="TX501266"/>
    <x v="0"/>
    <x v="0"/>
    <n v="24.1"/>
    <x v="1057"/>
    <x v="48"/>
    <d v="2025-02-20T00:00:00"/>
    <s v="F"/>
    <x v="4"/>
    <x v="2"/>
    <x v="0"/>
    <x v="8"/>
    <x v="1"/>
    <x v="7"/>
    <x v="2"/>
  </r>
  <r>
    <s v="TX501267"/>
    <x v="19"/>
    <x v="2"/>
    <n v="30.5"/>
    <x v="1058"/>
    <x v="48"/>
    <d v="2025-02-20T00:00:00"/>
    <s v="M"/>
    <x v="1"/>
    <x v="0"/>
    <x v="0"/>
    <x v="8"/>
    <x v="1"/>
    <x v="7"/>
    <x v="1"/>
  </r>
  <r>
    <s v="TX501268"/>
    <x v="18"/>
    <x v="13"/>
    <n v="68.3"/>
    <x v="1059"/>
    <x v="48"/>
    <d v="2025-02-21T00:00:00"/>
    <s v="M"/>
    <x v="0"/>
    <x v="0"/>
    <x v="0"/>
    <x v="8"/>
    <x v="2"/>
    <x v="7"/>
    <x v="1"/>
  </r>
  <r>
    <s v="TX501269"/>
    <x v="7"/>
    <x v="2"/>
    <n v="43.3"/>
    <x v="1060"/>
    <x v="48"/>
    <d v="2025-02-22T00:00:00"/>
    <s v="F"/>
    <x v="0"/>
    <x v="0"/>
    <x v="0"/>
    <x v="17"/>
    <x v="5"/>
    <x v="7"/>
    <x v="2"/>
  </r>
  <r>
    <s v="TX501270"/>
    <x v="3"/>
    <x v="0"/>
    <n v="101.7"/>
    <x v="530"/>
    <x v="48"/>
    <d v="2025-02-21T00:00:00"/>
    <s v="F"/>
    <x v="0"/>
    <x v="1"/>
    <x v="0"/>
    <x v="17"/>
    <x v="2"/>
    <x v="7"/>
    <x v="2"/>
  </r>
  <r>
    <s v="TX501271"/>
    <x v="11"/>
    <x v="1"/>
    <n v="54.2"/>
    <x v="1061"/>
    <x v="48"/>
    <d v="2025-02-19T00:00:00"/>
    <s v="F"/>
    <x v="0"/>
    <x v="1"/>
    <x v="0"/>
    <x v="17"/>
    <x v="3"/>
    <x v="7"/>
    <x v="2"/>
  </r>
  <r>
    <s v="TX501272"/>
    <x v="16"/>
    <x v="1"/>
    <n v="51"/>
    <x v="1062"/>
    <x v="48"/>
    <d v="2025-02-18T00:00:00"/>
    <s v="M"/>
    <x v="1"/>
    <x v="0"/>
    <x v="0"/>
    <x v="26"/>
    <x v="7"/>
    <x v="7"/>
    <x v="1"/>
  </r>
  <r>
    <s v="TX501273"/>
    <x v="4"/>
    <x v="1"/>
    <n v="23.1"/>
    <x v="1063"/>
    <x v="48"/>
    <d v="2025-02-21T00:00:00"/>
    <s v="M"/>
    <x v="1"/>
    <x v="0"/>
    <x v="0"/>
    <x v="10"/>
    <x v="2"/>
    <x v="7"/>
    <x v="1"/>
  </r>
  <r>
    <s v="TX501274"/>
    <x v="12"/>
    <x v="13"/>
    <n v="60.1"/>
    <x v="116"/>
    <x v="48"/>
    <d v="2025-02-18T00:00:00"/>
    <s v="F"/>
    <x v="3"/>
    <x v="0"/>
    <x v="0"/>
    <x v="11"/>
    <x v="7"/>
    <x v="7"/>
    <x v="2"/>
  </r>
  <r>
    <s v="TX501275"/>
    <x v="2"/>
    <x v="3"/>
    <n v="87.5"/>
    <x v="1064"/>
    <x v="48"/>
    <d v="2025-02-20T00:00:00"/>
    <s v="F"/>
    <x v="0"/>
    <x v="1"/>
    <x v="0"/>
    <x v="11"/>
    <x v="1"/>
    <x v="7"/>
    <x v="2"/>
  </r>
  <r>
    <s v="TX501276"/>
    <x v="1"/>
    <x v="2"/>
    <n v="51"/>
    <x v="1065"/>
    <x v="48"/>
    <d v="2025-02-19T00:00:00"/>
    <s v="F"/>
    <x v="1"/>
    <x v="0"/>
    <x v="0"/>
    <x v="11"/>
    <x v="3"/>
    <x v="7"/>
    <x v="2"/>
  </r>
  <r>
    <s v="TX501277"/>
    <x v="8"/>
    <x v="12"/>
    <n v="19.2"/>
    <x v="714"/>
    <x v="48"/>
    <d v="2025-02-20T00:00:00"/>
    <s v="F"/>
    <x v="0"/>
    <x v="0"/>
    <x v="0"/>
    <x v="11"/>
    <x v="1"/>
    <x v="7"/>
    <x v="2"/>
  </r>
  <r>
    <s v="TX501278"/>
    <x v="5"/>
    <x v="8"/>
    <n v="26.5"/>
    <x v="1066"/>
    <x v="48"/>
    <d v="2025-02-19T00:00:00"/>
    <s v=""/>
    <x v="3"/>
    <x v="2"/>
    <x v="0"/>
    <x v="11"/>
    <x v="3"/>
    <x v="7"/>
    <x v="0"/>
  </r>
  <r>
    <s v="TX501279"/>
    <x v="2"/>
    <x v="1"/>
    <n v="220.3"/>
    <x v="1067"/>
    <x v="48"/>
    <d v="2025-02-19T00:00:00"/>
    <s v="F"/>
    <x v="1"/>
    <x v="4"/>
    <x v="0"/>
    <x v="53"/>
    <x v="3"/>
    <x v="7"/>
    <x v="2"/>
  </r>
  <r>
    <s v="TX501280"/>
    <x v="8"/>
    <x v="2"/>
    <n v="45.7"/>
    <x v="1068"/>
    <x v="48"/>
    <d v="2025-02-19T00:00:00"/>
    <s v="F"/>
    <x v="4"/>
    <x v="0"/>
    <x v="0"/>
    <x v="30"/>
    <x v="3"/>
    <x v="7"/>
    <x v="2"/>
  </r>
  <r>
    <s v="TX501281"/>
    <x v="5"/>
    <x v="9"/>
    <n v="47.1"/>
    <x v="1069"/>
    <x v="48"/>
    <d v="2025-02-22T00:00:00"/>
    <s v="F"/>
    <x v="3"/>
    <x v="0"/>
    <x v="0"/>
    <x v="13"/>
    <x v="5"/>
    <x v="7"/>
    <x v="2"/>
  </r>
  <r>
    <s v="TX501282"/>
    <x v="1"/>
    <x v="9"/>
    <n v="81.7"/>
    <x v="856"/>
    <x v="48"/>
    <d v="2025-02-19T00:00:00"/>
    <s v="F"/>
    <x v="0"/>
    <x v="2"/>
    <x v="0"/>
    <x v="21"/>
    <x v="3"/>
    <x v="7"/>
    <x v="2"/>
  </r>
  <r>
    <s v="TX501283"/>
    <x v="6"/>
    <x v="7"/>
    <n v="97.8"/>
    <x v="1070"/>
    <x v="48"/>
    <d v="2025-02-18T00:00:00"/>
    <s v="M"/>
    <x v="1"/>
    <x v="1"/>
    <x v="0"/>
    <x v="21"/>
    <x v="7"/>
    <x v="7"/>
    <x v="1"/>
  </r>
  <r>
    <s v="TX501284"/>
    <x v="6"/>
    <x v="2"/>
    <n v="42.4"/>
    <x v="1071"/>
    <x v="48"/>
    <d v="2025-02-19T00:00:00"/>
    <s v="F"/>
    <x v="0"/>
    <x v="2"/>
    <x v="0"/>
    <x v="54"/>
    <x v="3"/>
    <x v="7"/>
    <x v="2"/>
  </r>
  <r>
    <s v="TX501285"/>
    <x v="2"/>
    <x v="7"/>
    <n v="74.5"/>
    <x v="1072"/>
    <x v="48"/>
    <d v="2025-02-19T00:00:00"/>
    <s v="M"/>
    <x v="2"/>
    <x v="1"/>
    <x v="0"/>
    <x v="1"/>
    <x v="3"/>
    <x v="7"/>
    <x v="1"/>
  </r>
  <r>
    <s v="TX501286"/>
    <x v="17"/>
    <x v="13"/>
    <n v="47.4"/>
    <x v="1073"/>
    <x v="48"/>
    <d v="2025-02-19T00:00:00"/>
    <s v="M"/>
    <x v="1"/>
    <x v="0"/>
    <x v="0"/>
    <x v="1"/>
    <x v="3"/>
    <x v="7"/>
    <x v="1"/>
  </r>
  <r>
    <s v="TX501287"/>
    <x v="14"/>
    <x v="2"/>
    <n v="17.3"/>
    <x v="1074"/>
    <x v="49"/>
    <d v="2025-02-22T00:00:00"/>
    <s v="M"/>
    <x v="2"/>
    <x v="2"/>
    <x v="0"/>
    <x v="1"/>
    <x v="2"/>
    <x v="7"/>
    <x v="1"/>
  </r>
  <r>
    <s v="TX501288"/>
    <x v="12"/>
    <x v="12"/>
    <n v="77.900000000000006"/>
    <x v="1075"/>
    <x v="49"/>
    <d v="2025-02-20T00:00:00"/>
    <s v="M"/>
    <x v="1"/>
    <x v="0"/>
    <x v="0"/>
    <x v="2"/>
    <x v="3"/>
    <x v="7"/>
    <x v="1"/>
  </r>
  <r>
    <s v="TX501289"/>
    <x v="8"/>
    <x v="0"/>
    <n v="29.1"/>
    <x v="1076"/>
    <x v="49"/>
    <d v="2025-02-22T00:00:00"/>
    <s v="M"/>
    <x v="0"/>
    <x v="2"/>
    <x v="0"/>
    <x v="50"/>
    <x v="2"/>
    <x v="7"/>
    <x v="1"/>
  </r>
  <r>
    <s v="TX501290"/>
    <x v="8"/>
    <x v="0"/>
    <n v="49"/>
    <x v="268"/>
    <x v="49"/>
    <d v="2025-02-20T00:00:00"/>
    <s v="M"/>
    <x v="1"/>
    <x v="0"/>
    <x v="0"/>
    <x v="3"/>
    <x v="3"/>
    <x v="7"/>
    <x v="1"/>
  </r>
  <r>
    <s v="TX501291"/>
    <x v="8"/>
    <x v="13"/>
    <n v="21.1"/>
    <x v="1077"/>
    <x v="49"/>
    <d v="2025-02-26T00:00:00"/>
    <s v="M"/>
    <x v="0"/>
    <x v="2"/>
    <x v="0"/>
    <x v="3"/>
    <x v="6"/>
    <x v="7"/>
    <x v="1"/>
  </r>
  <r>
    <s v="TX501292"/>
    <x v="4"/>
    <x v="10"/>
    <n v="36.9"/>
    <x v="1078"/>
    <x v="49"/>
    <d v="2025-02-19T00:00:00"/>
    <s v="F"/>
    <x v="0"/>
    <x v="0"/>
    <x v="0"/>
    <x v="3"/>
    <x v="7"/>
    <x v="7"/>
    <x v="2"/>
  </r>
  <r>
    <s v="TX501293"/>
    <x v="1"/>
    <x v="7"/>
    <n v="92.6"/>
    <x v="1079"/>
    <x v="49"/>
    <d v="2025-02-24T00:00:00"/>
    <s v="M"/>
    <x v="4"/>
    <x v="2"/>
    <x v="0"/>
    <x v="3"/>
    <x v="0"/>
    <x v="7"/>
    <x v="1"/>
  </r>
  <r>
    <s v="TX501294"/>
    <x v="10"/>
    <x v="1"/>
    <n v="38"/>
    <x v="998"/>
    <x v="49"/>
    <d v="2025-02-20T00:00:00"/>
    <s v="M"/>
    <x v="1"/>
    <x v="1"/>
    <x v="0"/>
    <x v="3"/>
    <x v="3"/>
    <x v="7"/>
    <x v="1"/>
  </r>
  <r>
    <s v="TX501295"/>
    <x v="5"/>
    <x v="2"/>
    <n v="54.8"/>
    <x v="1080"/>
    <x v="49"/>
    <d v="2025-02-23T00:00:00"/>
    <s v=""/>
    <x v="0"/>
    <x v="1"/>
    <x v="0"/>
    <x v="3"/>
    <x v="5"/>
    <x v="7"/>
    <x v="0"/>
  </r>
  <r>
    <s v="TX501296"/>
    <x v="10"/>
    <x v="4"/>
    <n v="56.8"/>
    <x v="1081"/>
    <x v="49"/>
    <d v="2025-02-21T00:00:00"/>
    <s v="M"/>
    <x v="1"/>
    <x v="0"/>
    <x v="0"/>
    <x v="3"/>
    <x v="1"/>
    <x v="7"/>
    <x v="1"/>
  </r>
  <r>
    <s v="TX501297"/>
    <x v="11"/>
    <x v="40"/>
    <n v="47.2"/>
    <x v="1082"/>
    <x v="49"/>
    <d v="2025-02-22T00:00:00"/>
    <s v="F"/>
    <x v="1"/>
    <x v="0"/>
    <x v="0"/>
    <x v="3"/>
    <x v="2"/>
    <x v="7"/>
    <x v="2"/>
  </r>
  <r>
    <s v="TX501298"/>
    <x v="7"/>
    <x v="13"/>
    <n v="45.1"/>
    <x v="1083"/>
    <x v="49"/>
    <d v="2025-02-20T00:00:00"/>
    <s v="F"/>
    <x v="2"/>
    <x v="0"/>
    <x v="0"/>
    <x v="43"/>
    <x v="3"/>
    <x v="7"/>
    <x v="2"/>
  </r>
  <r>
    <s v="TX501299"/>
    <x v="4"/>
    <x v="4"/>
    <n v="25.2"/>
    <x v="982"/>
    <x v="49"/>
    <d v="2025-02-24T00:00:00"/>
    <s v="F"/>
    <x v="2"/>
    <x v="0"/>
    <x v="0"/>
    <x v="16"/>
    <x v="0"/>
    <x v="7"/>
    <x v="2"/>
  </r>
  <r>
    <s v="TX501300"/>
    <x v="8"/>
    <x v="0"/>
    <n v="22"/>
    <x v="1084"/>
    <x v="49"/>
    <d v="2025-02-20T00:00:00"/>
    <s v="F"/>
    <x v="0"/>
    <x v="0"/>
    <x v="0"/>
    <x v="5"/>
    <x v="3"/>
    <x v="7"/>
    <x v="2"/>
  </r>
  <r>
    <s v="TX501301"/>
    <x v="6"/>
    <x v="1"/>
    <n v="42.2"/>
    <x v="533"/>
    <x v="49"/>
    <d v="2025-02-20T00:00:00"/>
    <s v="F"/>
    <x v="1"/>
    <x v="1"/>
    <x v="0"/>
    <x v="23"/>
    <x v="3"/>
    <x v="7"/>
    <x v="2"/>
  </r>
  <r>
    <s v="TX501302"/>
    <x v="13"/>
    <x v="2"/>
    <n v="20.5"/>
    <x v="1085"/>
    <x v="49"/>
    <d v="2025-02-20T00:00:00"/>
    <s v="M"/>
    <x v="0"/>
    <x v="1"/>
    <x v="0"/>
    <x v="6"/>
    <x v="3"/>
    <x v="7"/>
    <x v="1"/>
  </r>
  <r>
    <s v="TX501303"/>
    <x v="2"/>
    <x v="0"/>
    <n v="190.4"/>
    <x v="1086"/>
    <x v="49"/>
    <d v="2025-02-24T00:00:00"/>
    <s v="M"/>
    <x v="1"/>
    <x v="4"/>
    <x v="0"/>
    <x v="6"/>
    <x v="0"/>
    <x v="7"/>
    <x v="1"/>
  </r>
  <r>
    <s v="TX501304"/>
    <x v="2"/>
    <x v="0"/>
    <n v="121.9"/>
    <x v="1087"/>
    <x v="49"/>
    <d v="2025-02-21T00:00:00"/>
    <s v="F"/>
    <x v="1"/>
    <x v="2"/>
    <x v="0"/>
    <x v="6"/>
    <x v="1"/>
    <x v="7"/>
    <x v="2"/>
  </r>
  <r>
    <s v="TX501305"/>
    <x v="2"/>
    <x v="13"/>
    <n v="149.19999999999999"/>
    <x v="1088"/>
    <x v="49"/>
    <d v="2025-02-20T00:00:00"/>
    <s v="F"/>
    <x v="2"/>
    <x v="2"/>
    <x v="0"/>
    <x v="7"/>
    <x v="3"/>
    <x v="7"/>
    <x v="2"/>
  </r>
  <r>
    <s v="TX501306"/>
    <x v="2"/>
    <x v="0"/>
    <n v="54.1"/>
    <x v="1089"/>
    <x v="49"/>
    <d v="2025-02-28T00:00:00"/>
    <s v="F"/>
    <x v="2"/>
    <x v="2"/>
    <x v="0"/>
    <x v="7"/>
    <x v="8"/>
    <x v="7"/>
    <x v="2"/>
  </r>
  <r>
    <s v="TX501307"/>
    <x v="5"/>
    <x v="1"/>
    <n v="27.4"/>
    <x v="1090"/>
    <x v="49"/>
    <d v="2025-02-21T00:00:00"/>
    <s v="M"/>
    <x v="1"/>
    <x v="0"/>
    <x v="0"/>
    <x v="8"/>
    <x v="1"/>
    <x v="7"/>
    <x v="1"/>
  </r>
  <r>
    <s v="TX501308"/>
    <x v="0"/>
    <x v="15"/>
    <n v="30.4"/>
    <x v="1091"/>
    <x v="49"/>
    <d v="2025-02-20T00:00:00"/>
    <s v="F"/>
    <x v="0"/>
    <x v="2"/>
    <x v="0"/>
    <x v="8"/>
    <x v="3"/>
    <x v="7"/>
    <x v="2"/>
  </r>
  <r>
    <s v="TX501309"/>
    <x v="12"/>
    <x v="2"/>
    <n v="46.2"/>
    <x v="209"/>
    <x v="49"/>
    <d v="2025-02-21T00:00:00"/>
    <s v="M"/>
    <x v="2"/>
    <x v="1"/>
    <x v="0"/>
    <x v="17"/>
    <x v="1"/>
    <x v="7"/>
    <x v="1"/>
  </r>
  <r>
    <s v="TX501310"/>
    <x v="7"/>
    <x v="8"/>
    <n v="78.599999999999994"/>
    <x v="1092"/>
    <x v="49"/>
    <d v="2025-02-23T00:00:00"/>
    <s v="M"/>
    <x v="3"/>
    <x v="0"/>
    <x v="0"/>
    <x v="17"/>
    <x v="5"/>
    <x v="7"/>
    <x v="1"/>
  </r>
  <r>
    <s v="TX501311"/>
    <x v="17"/>
    <x v="7"/>
    <n v="25.9"/>
    <x v="155"/>
    <x v="49"/>
    <d v="2025-02-25T00:00:00"/>
    <s v="M"/>
    <x v="4"/>
    <x v="0"/>
    <x v="0"/>
    <x v="9"/>
    <x v="4"/>
    <x v="7"/>
    <x v="1"/>
  </r>
  <r>
    <s v="TX501312"/>
    <x v="6"/>
    <x v="0"/>
    <n v="134.80000000000001"/>
    <x v="1093"/>
    <x v="49"/>
    <d v="2025-02-21T00:00:00"/>
    <s v="M"/>
    <x v="2"/>
    <x v="2"/>
    <x v="0"/>
    <x v="9"/>
    <x v="1"/>
    <x v="7"/>
    <x v="1"/>
  </r>
  <r>
    <s v="TX501313"/>
    <x v="15"/>
    <x v="9"/>
    <n v="43.1"/>
    <x v="1094"/>
    <x v="49"/>
    <d v="2025-02-21T00:00:00"/>
    <s v="F"/>
    <x v="0"/>
    <x v="0"/>
    <x v="0"/>
    <x v="11"/>
    <x v="1"/>
    <x v="7"/>
    <x v="2"/>
  </r>
  <r>
    <s v="TX501314"/>
    <x v="2"/>
    <x v="1"/>
    <n v="215.6"/>
    <x v="348"/>
    <x v="49"/>
    <d v="2025-02-20T00:00:00"/>
    <s v="F"/>
    <x v="2"/>
    <x v="0"/>
    <x v="0"/>
    <x v="18"/>
    <x v="3"/>
    <x v="7"/>
    <x v="2"/>
  </r>
  <r>
    <s v="TX501315"/>
    <x v="6"/>
    <x v="1"/>
    <n v="80.7"/>
    <x v="1095"/>
    <x v="49"/>
    <d v="2025-02-22T00:00:00"/>
    <s v="F"/>
    <x v="3"/>
    <x v="0"/>
    <x v="0"/>
    <x v="18"/>
    <x v="2"/>
    <x v="7"/>
    <x v="2"/>
  </r>
  <r>
    <s v="TX501316"/>
    <x v="10"/>
    <x v="3"/>
    <n v="20.6"/>
    <x v="1096"/>
    <x v="49"/>
    <d v="2025-02-24T00:00:00"/>
    <s v=""/>
    <x v="2"/>
    <x v="1"/>
    <x v="0"/>
    <x v="19"/>
    <x v="0"/>
    <x v="7"/>
    <x v="0"/>
  </r>
  <r>
    <s v="TX501317"/>
    <x v="12"/>
    <x v="2"/>
    <n v="37.1"/>
    <x v="1097"/>
    <x v="49"/>
    <d v="2025-02-20T00:00:00"/>
    <s v="F"/>
    <x v="0"/>
    <x v="0"/>
    <x v="0"/>
    <x v="52"/>
    <x v="3"/>
    <x v="7"/>
    <x v="2"/>
  </r>
  <r>
    <s v="TX501318"/>
    <x v="12"/>
    <x v="0"/>
    <n v="104.8"/>
    <x v="661"/>
    <x v="50"/>
    <d v="2025-02-22T00:00:00"/>
    <s v="F"/>
    <x v="0"/>
    <x v="0"/>
    <x v="0"/>
    <x v="13"/>
    <x v="1"/>
    <x v="7"/>
    <x v="2"/>
  </r>
  <r>
    <s v="TX501319"/>
    <x v="8"/>
    <x v="1"/>
    <n v="59"/>
    <x v="1098"/>
    <x v="50"/>
    <d v="2025-02-21T00:00:00"/>
    <s v="M"/>
    <x v="1"/>
    <x v="0"/>
    <x v="0"/>
    <x v="21"/>
    <x v="3"/>
    <x v="7"/>
    <x v="1"/>
  </r>
  <r>
    <s v="TX501320"/>
    <x v="8"/>
    <x v="1"/>
    <n v="32.299999999999997"/>
    <x v="1099"/>
    <x v="50"/>
    <d v="2025-02-21T00:00:00"/>
    <s v="M"/>
    <x v="0"/>
    <x v="2"/>
    <x v="0"/>
    <x v="21"/>
    <x v="3"/>
    <x v="7"/>
    <x v="1"/>
  </r>
  <r>
    <s v="TX501321"/>
    <x v="8"/>
    <x v="12"/>
    <n v="28.9"/>
    <x v="446"/>
    <x v="50"/>
    <d v="2025-02-27T00:00:00"/>
    <s v="M"/>
    <x v="0"/>
    <x v="0"/>
    <x v="0"/>
    <x v="1"/>
    <x v="6"/>
    <x v="7"/>
    <x v="1"/>
  </r>
  <r>
    <s v="TX501322"/>
    <x v="0"/>
    <x v="1"/>
    <n v="29.6"/>
    <x v="1100"/>
    <x v="50"/>
    <d v="2025-02-22T00:00:00"/>
    <s v="M"/>
    <x v="0"/>
    <x v="0"/>
    <x v="0"/>
    <x v="1"/>
    <x v="1"/>
    <x v="7"/>
    <x v="1"/>
  </r>
  <r>
    <s v="TX501323"/>
    <x v="0"/>
    <x v="9"/>
    <n v="29.4"/>
    <x v="926"/>
    <x v="50"/>
    <d v="2025-02-23T00:00:00"/>
    <s v="F"/>
    <x v="0"/>
    <x v="0"/>
    <x v="0"/>
    <x v="1"/>
    <x v="2"/>
    <x v="7"/>
    <x v="2"/>
  </r>
  <r>
    <s v="TX501324"/>
    <x v="1"/>
    <x v="1"/>
    <n v="40.6"/>
    <x v="1101"/>
    <x v="50"/>
    <d v="2025-02-21T00:00:00"/>
    <s v="M"/>
    <x v="0"/>
    <x v="4"/>
    <x v="0"/>
    <x v="2"/>
    <x v="3"/>
    <x v="7"/>
    <x v="1"/>
  </r>
  <r>
    <s v="TX501325"/>
    <x v="0"/>
    <x v="2"/>
    <n v="32.5"/>
    <x v="647"/>
    <x v="50"/>
    <d v="2025-02-21T00:00:00"/>
    <s v="M"/>
    <x v="3"/>
    <x v="2"/>
    <x v="0"/>
    <x v="22"/>
    <x v="3"/>
    <x v="7"/>
    <x v="1"/>
  </r>
  <r>
    <s v="TX501326"/>
    <x v="15"/>
    <x v="0"/>
    <n v="26.2"/>
    <x v="1102"/>
    <x v="50"/>
    <d v="2025-02-22T00:00:00"/>
    <s v="M"/>
    <x v="2"/>
    <x v="0"/>
    <x v="0"/>
    <x v="55"/>
    <x v="1"/>
    <x v="7"/>
    <x v="1"/>
  </r>
  <r>
    <s v="TX501327"/>
    <x v="10"/>
    <x v="17"/>
    <n v="44"/>
    <x v="1103"/>
    <x v="50"/>
    <d v="2025-02-26T00:00:00"/>
    <s v="M"/>
    <x v="4"/>
    <x v="0"/>
    <x v="0"/>
    <x v="3"/>
    <x v="4"/>
    <x v="7"/>
    <x v="1"/>
  </r>
  <r>
    <s v="TX501328"/>
    <x v="7"/>
    <x v="12"/>
    <n v="65.599999999999994"/>
    <x v="1104"/>
    <x v="50"/>
    <d v="2025-02-21T00:00:00"/>
    <s v="F"/>
    <x v="1"/>
    <x v="1"/>
    <x v="0"/>
    <x v="3"/>
    <x v="3"/>
    <x v="7"/>
    <x v="2"/>
  </r>
  <r>
    <s v="TX501329"/>
    <x v="5"/>
    <x v="4"/>
    <n v="32.6"/>
    <x v="1105"/>
    <x v="50"/>
    <d v="2025-02-21T00:00:00"/>
    <s v="M"/>
    <x v="4"/>
    <x v="0"/>
    <x v="0"/>
    <x v="3"/>
    <x v="3"/>
    <x v="7"/>
    <x v="1"/>
  </r>
  <r>
    <s v="TX501330"/>
    <x v="16"/>
    <x v="1"/>
    <n v="88.7"/>
    <x v="633"/>
    <x v="50"/>
    <d v="2025-02-21T00:00:00"/>
    <s v=""/>
    <x v="3"/>
    <x v="2"/>
    <x v="0"/>
    <x v="3"/>
    <x v="3"/>
    <x v="7"/>
    <x v="0"/>
  </r>
  <r>
    <s v="TX501331"/>
    <x v="4"/>
    <x v="1"/>
    <n v="21.3"/>
    <x v="440"/>
    <x v="50"/>
    <d v="2025-02-21T00:00:00"/>
    <s v="M"/>
    <x v="0"/>
    <x v="0"/>
    <x v="0"/>
    <x v="3"/>
    <x v="3"/>
    <x v="7"/>
    <x v="1"/>
  </r>
  <r>
    <s v="TX501332"/>
    <x v="4"/>
    <x v="13"/>
    <n v="50.6"/>
    <x v="80"/>
    <x v="50"/>
    <d v="2025-02-24T00:00:00"/>
    <s v="F"/>
    <x v="2"/>
    <x v="0"/>
    <x v="0"/>
    <x v="3"/>
    <x v="5"/>
    <x v="7"/>
    <x v="2"/>
  </r>
  <r>
    <s v="TX501333"/>
    <x v="9"/>
    <x v="38"/>
    <n v="86.9"/>
    <x v="1106"/>
    <x v="50"/>
    <d v="2025-02-23T00:00:00"/>
    <s v="F"/>
    <x v="0"/>
    <x v="1"/>
    <x v="0"/>
    <x v="3"/>
    <x v="2"/>
    <x v="7"/>
    <x v="2"/>
  </r>
  <r>
    <s v="TX501334"/>
    <x v="11"/>
    <x v="2"/>
    <n v="31.8"/>
    <x v="233"/>
    <x v="50"/>
    <d v="2025-02-22T00:00:00"/>
    <s v="M"/>
    <x v="0"/>
    <x v="2"/>
    <x v="0"/>
    <x v="3"/>
    <x v="1"/>
    <x v="7"/>
    <x v="1"/>
  </r>
  <r>
    <s v="TX501335"/>
    <x v="8"/>
    <x v="0"/>
    <n v="19"/>
    <x v="134"/>
    <x v="50"/>
    <d v="2025-02-21T00:00:00"/>
    <s v="F"/>
    <x v="0"/>
    <x v="2"/>
    <x v="0"/>
    <x v="3"/>
    <x v="3"/>
    <x v="7"/>
    <x v="2"/>
  </r>
  <r>
    <s v="TX501336"/>
    <x v="5"/>
    <x v="0"/>
    <n v="54.5"/>
    <x v="1107"/>
    <x v="50"/>
    <d v="2025-02-22T00:00:00"/>
    <s v="M"/>
    <x v="0"/>
    <x v="0"/>
    <x v="0"/>
    <x v="3"/>
    <x v="1"/>
    <x v="7"/>
    <x v="1"/>
  </r>
  <r>
    <s v="TX501337"/>
    <x v="9"/>
    <x v="9"/>
    <n v="68.900000000000006"/>
    <x v="1108"/>
    <x v="50"/>
    <d v="2025-02-22T00:00:00"/>
    <s v="M"/>
    <x v="4"/>
    <x v="1"/>
    <x v="0"/>
    <x v="3"/>
    <x v="1"/>
    <x v="7"/>
    <x v="1"/>
  </r>
  <r>
    <s v="TX501338"/>
    <x v="6"/>
    <x v="2"/>
    <n v="84"/>
    <x v="816"/>
    <x v="50"/>
    <d v="2025-02-21T00:00:00"/>
    <s v="M"/>
    <x v="1"/>
    <x v="4"/>
    <x v="0"/>
    <x v="16"/>
    <x v="3"/>
    <x v="7"/>
    <x v="1"/>
  </r>
  <r>
    <s v="TX501339"/>
    <x v="15"/>
    <x v="8"/>
    <n v="23.1"/>
    <x v="827"/>
    <x v="50"/>
    <d v="2025-02-25T00:00:00"/>
    <s v="M"/>
    <x v="0"/>
    <x v="2"/>
    <x v="0"/>
    <x v="23"/>
    <x v="0"/>
    <x v="7"/>
    <x v="1"/>
  </r>
  <r>
    <s v="TX501340"/>
    <x v="7"/>
    <x v="1"/>
    <n v="62.4"/>
    <x v="1109"/>
    <x v="50"/>
    <d v="2025-02-21T00:00:00"/>
    <s v="F"/>
    <x v="0"/>
    <x v="1"/>
    <x v="0"/>
    <x v="6"/>
    <x v="3"/>
    <x v="7"/>
    <x v="2"/>
  </r>
  <r>
    <s v="TX501341"/>
    <x v="6"/>
    <x v="4"/>
    <n v="40.700000000000003"/>
    <x v="1110"/>
    <x v="50"/>
    <d v="2025-02-22T00:00:00"/>
    <s v="M"/>
    <x v="1"/>
    <x v="2"/>
    <x v="0"/>
    <x v="6"/>
    <x v="1"/>
    <x v="7"/>
    <x v="1"/>
  </r>
  <r>
    <s v="TX501342"/>
    <x v="6"/>
    <x v="0"/>
    <n v="49.6"/>
    <x v="1111"/>
    <x v="50"/>
    <d v="2025-02-23T00:00:00"/>
    <s v="M"/>
    <x v="2"/>
    <x v="0"/>
    <x v="0"/>
    <x v="7"/>
    <x v="2"/>
    <x v="7"/>
    <x v="1"/>
  </r>
  <r>
    <s v="TX501343"/>
    <x v="7"/>
    <x v="41"/>
    <n v="66.599999999999994"/>
    <x v="1112"/>
    <x v="50"/>
    <d v="2025-02-23T00:00:00"/>
    <s v="M"/>
    <x v="2"/>
    <x v="0"/>
    <x v="0"/>
    <x v="8"/>
    <x v="2"/>
    <x v="7"/>
    <x v="1"/>
  </r>
  <r>
    <s v="TX501344"/>
    <x v="8"/>
    <x v="2"/>
    <n v="26.4"/>
    <x v="1113"/>
    <x v="50"/>
    <d v="2025-02-21T00:00:00"/>
    <s v="F"/>
    <x v="1"/>
    <x v="1"/>
    <x v="0"/>
    <x v="8"/>
    <x v="3"/>
    <x v="7"/>
    <x v="2"/>
  </r>
  <r>
    <s v="TX501345"/>
    <x v="0"/>
    <x v="1"/>
    <n v="17.2"/>
    <x v="1114"/>
    <x v="50"/>
    <d v="2025-02-23T00:00:00"/>
    <s v="M"/>
    <x v="2"/>
    <x v="1"/>
    <x v="0"/>
    <x v="8"/>
    <x v="2"/>
    <x v="7"/>
    <x v="1"/>
  </r>
  <r>
    <s v="TX501346"/>
    <x v="5"/>
    <x v="8"/>
    <n v="58.1"/>
    <x v="1115"/>
    <x v="50"/>
    <d v="2025-02-23T00:00:00"/>
    <s v="F"/>
    <x v="4"/>
    <x v="0"/>
    <x v="0"/>
    <x v="8"/>
    <x v="2"/>
    <x v="7"/>
    <x v="2"/>
  </r>
  <r>
    <s v="TX501347"/>
    <x v="15"/>
    <x v="12"/>
    <n v="31.5"/>
    <x v="624"/>
    <x v="50"/>
    <d v="2025-02-23T00:00:00"/>
    <s v="F"/>
    <x v="4"/>
    <x v="4"/>
    <x v="0"/>
    <x v="8"/>
    <x v="2"/>
    <x v="7"/>
    <x v="2"/>
  </r>
  <r>
    <s v="TX501348"/>
    <x v="0"/>
    <x v="0"/>
    <n v="27.1"/>
    <x v="1116"/>
    <x v="50"/>
    <d v="2025-02-22T00:00:00"/>
    <s v="F"/>
    <x v="0"/>
    <x v="1"/>
    <x v="0"/>
    <x v="17"/>
    <x v="1"/>
    <x v="7"/>
    <x v="2"/>
  </r>
  <r>
    <s v="TX501349"/>
    <x v="18"/>
    <x v="12"/>
    <n v="28.5"/>
    <x v="717"/>
    <x v="50"/>
    <d v="2025-02-22T00:00:00"/>
    <s v="M"/>
    <x v="1"/>
    <x v="2"/>
    <x v="0"/>
    <x v="9"/>
    <x v="1"/>
    <x v="7"/>
    <x v="1"/>
  </r>
  <r>
    <s v="TX501350"/>
    <x v="10"/>
    <x v="0"/>
    <n v="40.5"/>
    <x v="1117"/>
    <x v="51"/>
    <d v="2025-02-23T00:00:00"/>
    <s v="O"/>
    <x v="2"/>
    <x v="0"/>
    <x v="0"/>
    <x v="9"/>
    <x v="1"/>
    <x v="7"/>
    <x v="3"/>
  </r>
  <r>
    <s v="TX501351"/>
    <x v="2"/>
    <x v="2"/>
    <n v="77.900000000000006"/>
    <x v="1118"/>
    <x v="51"/>
    <d v="2025-02-25T00:00:00"/>
    <s v="F"/>
    <x v="1"/>
    <x v="2"/>
    <x v="0"/>
    <x v="19"/>
    <x v="5"/>
    <x v="7"/>
    <x v="2"/>
  </r>
  <r>
    <s v="TX501352"/>
    <x v="18"/>
    <x v="12"/>
    <n v="37.1"/>
    <x v="1119"/>
    <x v="51"/>
    <d v="2025-02-23T00:00:00"/>
    <s v="M"/>
    <x v="4"/>
    <x v="2"/>
    <x v="0"/>
    <x v="19"/>
    <x v="1"/>
    <x v="7"/>
    <x v="1"/>
  </r>
  <r>
    <s v="TX501353"/>
    <x v="16"/>
    <x v="2"/>
    <n v="51.6"/>
    <x v="1120"/>
    <x v="51"/>
    <d v="2025-03-01T00:00:00"/>
    <s v="F"/>
    <x v="0"/>
    <x v="4"/>
    <x v="0"/>
    <x v="19"/>
    <x v="9"/>
    <x v="7"/>
    <x v="2"/>
  </r>
  <r>
    <s v="TX501354"/>
    <x v="7"/>
    <x v="2"/>
    <n v="98"/>
    <x v="1121"/>
    <x v="51"/>
    <d v="2025-02-22T00:00:00"/>
    <s v="M"/>
    <x v="1"/>
    <x v="1"/>
    <x v="0"/>
    <x v="19"/>
    <x v="3"/>
    <x v="7"/>
    <x v="1"/>
  </r>
  <r>
    <s v="TX501355"/>
    <x v="6"/>
    <x v="3"/>
    <n v="41.4"/>
    <x v="1122"/>
    <x v="51"/>
    <d v="2025-02-22T00:00:00"/>
    <s v="M"/>
    <x v="1"/>
    <x v="0"/>
    <x v="0"/>
    <x v="20"/>
    <x v="3"/>
    <x v="7"/>
    <x v="1"/>
  </r>
  <r>
    <s v="TX501356"/>
    <x v="11"/>
    <x v="8"/>
    <n v="34"/>
    <x v="1123"/>
    <x v="51"/>
    <d v="2025-02-26T00:00:00"/>
    <s v="F"/>
    <x v="0"/>
    <x v="2"/>
    <x v="0"/>
    <x v="52"/>
    <x v="0"/>
    <x v="7"/>
    <x v="2"/>
  </r>
  <r>
    <s v="TX501357"/>
    <x v="6"/>
    <x v="0"/>
    <n v="66.3"/>
    <x v="1124"/>
    <x v="51"/>
    <d v="2025-02-22T00:00:00"/>
    <s v="F"/>
    <x v="1"/>
    <x v="0"/>
    <x v="0"/>
    <x v="13"/>
    <x v="3"/>
    <x v="7"/>
    <x v="2"/>
  </r>
  <r>
    <s v="TX501358"/>
    <x v="7"/>
    <x v="0"/>
    <n v="33.5"/>
    <x v="253"/>
    <x v="51"/>
    <d v="2025-02-25T00:00:00"/>
    <s v="M"/>
    <x v="2"/>
    <x v="0"/>
    <x v="0"/>
    <x v="13"/>
    <x v="5"/>
    <x v="7"/>
    <x v="1"/>
  </r>
  <r>
    <s v="TX501359"/>
    <x v="12"/>
    <x v="1"/>
    <n v="70.8"/>
    <x v="932"/>
    <x v="51"/>
    <d v="2025-02-22T00:00:00"/>
    <s v=""/>
    <x v="0"/>
    <x v="0"/>
    <x v="0"/>
    <x v="28"/>
    <x v="3"/>
    <x v="7"/>
    <x v="0"/>
  </r>
  <r>
    <s v="TX501360"/>
    <x v="6"/>
    <x v="1"/>
    <n v="127.6"/>
    <x v="281"/>
    <x v="51"/>
    <d v="2025-02-22T00:00:00"/>
    <s v="M"/>
    <x v="0"/>
    <x v="0"/>
    <x v="0"/>
    <x v="21"/>
    <x v="3"/>
    <x v="7"/>
    <x v="1"/>
  </r>
  <r>
    <s v="TX501361"/>
    <x v="6"/>
    <x v="2"/>
    <n v="95.9"/>
    <x v="1125"/>
    <x v="51"/>
    <d v="2025-02-22T00:00:00"/>
    <s v="F"/>
    <x v="1"/>
    <x v="1"/>
    <x v="0"/>
    <x v="21"/>
    <x v="3"/>
    <x v="7"/>
    <x v="2"/>
  </r>
  <r>
    <s v="TX501362"/>
    <x v="2"/>
    <x v="1"/>
    <n v="78.099999999999994"/>
    <x v="1126"/>
    <x v="51"/>
    <d v="2025-02-22T00:00:00"/>
    <s v="M"/>
    <x v="0"/>
    <x v="0"/>
    <x v="0"/>
    <x v="1"/>
    <x v="3"/>
    <x v="7"/>
    <x v="1"/>
  </r>
  <r>
    <s v="TX501363"/>
    <x v="13"/>
    <x v="1"/>
    <n v="43.2"/>
    <x v="781"/>
    <x v="51"/>
    <d v="2025-02-22T00:00:00"/>
    <s v=""/>
    <x v="1"/>
    <x v="1"/>
    <x v="0"/>
    <x v="1"/>
    <x v="3"/>
    <x v="7"/>
    <x v="0"/>
  </r>
  <r>
    <s v="TX501364"/>
    <x v="8"/>
    <x v="12"/>
    <n v="28.4"/>
    <x v="1127"/>
    <x v="51"/>
    <d v="2025-02-27T00:00:00"/>
    <s v="M"/>
    <x v="2"/>
    <x v="0"/>
    <x v="0"/>
    <x v="3"/>
    <x v="4"/>
    <x v="7"/>
    <x v="1"/>
  </r>
  <r>
    <s v="TX501365"/>
    <x v="2"/>
    <x v="1"/>
    <n v="81.7"/>
    <x v="1128"/>
    <x v="51"/>
    <d v="2025-02-21T00:00:00"/>
    <s v="M"/>
    <x v="0"/>
    <x v="0"/>
    <x v="0"/>
    <x v="3"/>
    <x v="7"/>
    <x v="7"/>
    <x v="1"/>
  </r>
  <r>
    <s v="TX501366"/>
    <x v="18"/>
    <x v="1"/>
    <n v="56.7"/>
    <x v="1129"/>
    <x v="51"/>
    <d v="2025-02-23T00:00:00"/>
    <s v=""/>
    <x v="0"/>
    <x v="2"/>
    <x v="0"/>
    <x v="3"/>
    <x v="1"/>
    <x v="7"/>
    <x v="0"/>
  </r>
  <r>
    <s v="TX501367"/>
    <x v="3"/>
    <x v="12"/>
    <n v="66.5"/>
    <x v="751"/>
    <x v="51"/>
    <d v="2025-02-21T00:00:00"/>
    <s v="F"/>
    <x v="0"/>
    <x v="2"/>
    <x v="0"/>
    <x v="3"/>
    <x v="7"/>
    <x v="7"/>
    <x v="2"/>
  </r>
  <r>
    <s v="TX501368"/>
    <x v="1"/>
    <x v="1"/>
    <n v="105.3"/>
    <x v="1130"/>
    <x v="51"/>
    <d v="2025-02-25T00:00:00"/>
    <s v="M"/>
    <x v="0"/>
    <x v="1"/>
    <x v="0"/>
    <x v="3"/>
    <x v="5"/>
    <x v="7"/>
    <x v="1"/>
  </r>
  <r>
    <s v="TX501369"/>
    <x v="10"/>
    <x v="9"/>
    <n v="33.799999999999997"/>
    <x v="900"/>
    <x v="51"/>
    <d v="2025-02-26T00:00:00"/>
    <s v="M"/>
    <x v="0"/>
    <x v="0"/>
    <x v="0"/>
    <x v="3"/>
    <x v="0"/>
    <x v="7"/>
    <x v="1"/>
  </r>
  <r>
    <s v="TX501370"/>
    <x v="6"/>
    <x v="2"/>
    <n v="63.4"/>
    <x v="1131"/>
    <x v="51"/>
    <d v="2025-02-26T00:00:00"/>
    <s v="M"/>
    <x v="3"/>
    <x v="1"/>
    <x v="0"/>
    <x v="24"/>
    <x v="0"/>
    <x v="7"/>
    <x v="1"/>
  </r>
  <r>
    <s v="TX501371"/>
    <x v="6"/>
    <x v="2"/>
    <n v="49"/>
    <x v="926"/>
    <x v="51"/>
    <d v="2025-02-25T00:00:00"/>
    <s v="M"/>
    <x v="3"/>
    <x v="0"/>
    <x v="0"/>
    <x v="49"/>
    <x v="5"/>
    <x v="7"/>
    <x v="1"/>
  </r>
  <r>
    <s v="TX501372"/>
    <x v="1"/>
    <x v="1"/>
    <n v="40"/>
    <x v="479"/>
    <x v="51"/>
    <d v="2025-02-22T00:00:00"/>
    <s v="F"/>
    <x v="4"/>
    <x v="1"/>
    <x v="0"/>
    <x v="23"/>
    <x v="3"/>
    <x v="7"/>
    <x v="2"/>
  </r>
  <r>
    <s v="TX501373"/>
    <x v="6"/>
    <x v="12"/>
    <n v="86.3"/>
    <x v="1132"/>
    <x v="51"/>
    <d v="2025-02-22T00:00:00"/>
    <s v="O"/>
    <x v="0"/>
    <x v="0"/>
    <x v="0"/>
    <x v="6"/>
    <x v="3"/>
    <x v="7"/>
    <x v="3"/>
  </r>
  <r>
    <s v="TX501374"/>
    <x v="6"/>
    <x v="0"/>
    <n v="51.6"/>
    <x v="937"/>
    <x v="51"/>
    <d v="2025-02-23T00:00:00"/>
    <s v="F"/>
    <x v="2"/>
    <x v="2"/>
    <x v="0"/>
    <x v="6"/>
    <x v="1"/>
    <x v="7"/>
    <x v="2"/>
  </r>
  <r>
    <s v="TX501375"/>
    <x v="10"/>
    <x v="2"/>
    <n v="26.7"/>
    <x v="1133"/>
    <x v="51"/>
    <d v="2025-02-26T00:00:00"/>
    <s v="F"/>
    <x v="2"/>
    <x v="1"/>
    <x v="0"/>
    <x v="6"/>
    <x v="0"/>
    <x v="7"/>
    <x v="2"/>
  </r>
  <r>
    <s v="TX501376"/>
    <x v="18"/>
    <x v="1"/>
    <n v="68.099999999999994"/>
    <x v="1134"/>
    <x v="51"/>
    <d v="2025-02-22T00:00:00"/>
    <s v="M"/>
    <x v="0"/>
    <x v="1"/>
    <x v="0"/>
    <x v="6"/>
    <x v="3"/>
    <x v="7"/>
    <x v="1"/>
  </r>
  <r>
    <s v="TX501377"/>
    <x v="1"/>
    <x v="0"/>
    <n v="81.7"/>
    <x v="1135"/>
    <x v="51"/>
    <d v="2025-02-22T00:00:00"/>
    <s v="M"/>
    <x v="0"/>
    <x v="0"/>
    <x v="0"/>
    <x v="7"/>
    <x v="3"/>
    <x v="7"/>
    <x v="1"/>
  </r>
  <r>
    <s v="TX501378"/>
    <x v="18"/>
    <x v="7"/>
    <n v="25.1"/>
    <x v="1136"/>
    <x v="51"/>
    <d v="2025-02-24T00:00:00"/>
    <s v="M"/>
    <x v="3"/>
    <x v="1"/>
    <x v="0"/>
    <x v="8"/>
    <x v="2"/>
    <x v="7"/>
    <x v="1"/>
  </r>
  <r>
    <s v="TX501379"/>
    <x v="8"/>
    <x v="0"/>
    <n v="20.2"/>
    <x v="1137"/>
    <x v="51"/>
    <d v="2025-02-25T00:00:00"/>
    <s v="F"/>
    <x v="0"/>
    <x v="0"/>
    <x v="0"/>
    <x v="8"/>
    <x v="5"/>
    <x v="7"/>
    <x v="2"/>
  </r>
  <r>
    <s v="TX501380"/>
    <x v="8"/>
    <x v="2"/>
    <n v="15.4"/>
    <x v="1063"/>
    <x v="51"/>
    <d v="2025-02-22T00:00:00"/>
    <s v="M"/>
    <x v="1"/>
    <x v="2"/>
    <x v="0"/>
    <x v="8"/>
    <x v="3"/>
    <x v="7"/>
    <x v="1"/>
  </r>
  <r>
    <s v="TX501381"/>
    <x v="10"/>
    <x v="0"/>
    <n v="59.2"/>
    <x v="1100"/>
    <x v="51"/>
    <d v="2025-02-22T00:00:00"/>
    <s v="M"/>
    <x v="2"/>
    <x v="2"/>
    <x v="0"/>
    <x v="17"/>
    <x v="3"/>
    <x v="7"/>
    <x v="1"/>
  </r>
  <r>
    <s v="TX501382"/>
    <x v="0"/>
    <x v="0"/>
    <n v="46.7"/>
    <x v="594"/>
    <x v="51"/>
    <d v="2025-02-26T00:00:00"/>
    <s v="M"/>
    <x v="0"/>
    <x v="0"/>
    <x v="0"/>
    <x v="17"/>
    <x v="0"/>
    <x v="7"/>
    <x v="1"/>
  </r>
  <r>
    <s v="TX501383"/>
    <x v="6"/>
    <x v="20"/>
    <n v="41.6"/>
    <x v="1138"/>
    <x v="51"/>
    <d v="2025-02-23T00:00:00"/>
    <s v="M"/>
    <x v="1"/>
    <x v="0"/>
    <x v="0"/>
    <x v="26"/>
    <x v="1"/>
    <x v="7"/>
    <x v="1"/>
  </r>
  <r>
    <s v="TX501384"/>
    <x v="8"/>
    <x v="1"/>
    <n v="19.2"/>
    <x v="1139"/>
    <x v="51"/>
    <d v="2025-02-24T00:00:00"/>
    <s v="M"/>
    <x v="4"/>
    <x v="2"/>
    <x v="0"/>
    <x v="9"/>
    <x v="2"/>
    <x v="7"/>
    <x v="1"/>
  </r>
  <r>
    <s v="TX501385"/>
    <x v="17"/>
    <x v="3"/>
    <n v="41.8"/>
    <x v="1140"/>
    <x v="51"/>
    <d v="2025-02-23T00:00:00"/>
    <s v="F"/>
    <x v="2"/>
    <x v="0"/>
    <x v="0"/>
    <x v="11"/>
    <x v="1"/>
    <x v="7"/>
    <x v="2"/>
  </r>
  <r>
    <s v="TX501386"/>
    <x v="8"/>
    <x v="13"/>
    <n v="37.4"/>
    <x v="1141"/>
    <x v="51"/>
    <d v="2025-02-23T00:00:00"/>
    <s v="M"/>
    <x v="0"/>
    <x v="2"/>
    <x v="0"/>
    <x v="11"/>
    <x v="1"/>
    <x v="7"/>
    <x v="1"/>
  </r>
  <r>
    <s v="TX501387"/>
    <x v="10"/>
    <x v="2"/>
    <n v="60.2"/>
    <x v="1142"/>
    <x v="51"/>
    <d v="2025-02-24T00:00:00"/>
    <s v="M"/>
    <x v="4"/>
    <x v="1"/>
    <x v="0"/>
    <x v="38"/>
    <x v="2"/>
    <x v="7"/>
    <x v="1"/>
  </r>
  <r>
    <s v="TX501388"/>
    <x v="9"/>
    <x v="1"/>
    <n v="91.5"/>
    <x v="1143"/>
    <x v="52"/>
    <d v="2025-02-23T00:00:00"/>
    <s v="M"/>
    <x v="0"/>
    <x v="0"/>
    <x v="0"/>
    <x v="13"/>
    <x v="3"/>
    <x v="7"/>
    <x v="1"/>
  </r>
  <r>
    <s v="TX501389"/>
    <x v="3"/>
    <x v="9"/>
    <n v="55.7"/>
    <x v="1144"/>
    <x v="52"/>
    <d v="2025-02-24T00:00:00"/>
    <s v=""/>
    <x v="1"/>
    <x v="2"/>
    <x v="0"/>
    <x v="21"/>
    <x v="1"/>
    <x v="7"/>
    <x v="0"/>
  </r>
  <r>
    <s v="TX501390"/>
    <x v="7"/>
    <x v="1"/>
    <n v="76.7"/>
    <x v="1145"/>
    <x v="52"/>
    <d v="2025-02-24T00:00:00"/>
    <s v="M"/>
    <x v="0"/>
    <x v="1"/>
    <x v="0"/>
    <x v="21"/>
    <x v="1"/>
    <x v="7"/>
    <x v="1"/>
  </r>
  <r>
    <s v="TX501391"/>
    <x v="8"/>
    <x v="38"/>
    <n v="28.2"/>
    <x v="1146"/>
    <x v="52"/>
    <d v="2025-02-27T00:00:00"/>
    <s v="M"/>
    <x v="2"/>
    <x v="0"/>
    <x v="0"/>
    <x v="1"/>
    <x v="0"/>
    <x v="7"/>
    <x v="1"/>
  </r>
  <r>
    <s v="TX501392"/>
    <x v="7"/>
    <x v="9"/>
    <n v="93.2"/>
    <x v="1147"/>
    <x v="52"/>
    <d v="2025-02-24T00:00:00"/>
    <s v="F"/>
    <x v="4"/>
    <x v="2"/>
    <x v="0"/>
    <x v="1"/>
    <x v="1"/>
    <x v="7"/>
    <x v="2"/>
  </r>
  <r>
    <s v="TX501393"/>
    <x v="17"/>
    <x v="0"/>
    <n v="33.299999999999997"/>
    <x v="698"/>
    <x v="52"/>
    <d v="2025-02-23T00:00:00"/>
    <s v="M"/>
    <x v="4"/>
    <x v="0"/>
    <x v="0"/>
    <x v="2"/>
    <x v="3"/>
    <x v="7"/>
    <x v="1"/>
  </r>
  <r>
    <s v="TX501394"/>
    <x v="10"/>
    <x v="1"/>
    <n v="39.1"/>
    <x v="1148"/>
    <x v="52"/>
    <d v="2025-02-25T00:00:00"/>
    <s v="M"/>
    <x v="0"/>
    <x v="0"/>
    <x v="0"/>
    <x v="44"/>
    <x v="2"/>
    <x v="7"/>
    <x v="1"/>
  </r>
  <r>
    <s v="TX501395"/>
    <x v="7"/>
    <x v="4"/>
    <n v="45.3"/>
    <x v="1149"/>
    <x v="52"/>
    <d v="2025-02-23T00:00:00"/>
    <s v="M"/>
    <x v="2"/>
    <x v="0"/>
    <x v="0"/>
    <x v="33"/>
    <x v="3"/>
    <x v="7"/>
    <x v="1"/>
  </r>
  <r>
    <s v="TX501396"/>
    <x v="9"/>
    <x v="3"/>
    <n v="33.9"/>
    <x v="1150"/>
    <x v="52"/>
    <d v="2025-02-23T00:00:00"/>
    <s v="M"/>
    <x v="4"/>
    <x v="0"/>
    <x v="0"/>
    <x v="33"/>
    <x v="3"/>
    <x v="7"/>
    <x v="1"/>
  </r>
  <r>
    <s v="TX501397"/>
    <x v="8"/>
    <x v="2"/>
    <n v="19"/>
    <x v="933"/>
    <x v="52"/>
    <d v="2025-02-23T00:00:00"/>
    <s v="M"/>
    <x v="0"/>
    <x v="2"/>
    <x v="0"/>
    <x v="15"/>
    <x v="3"/>
    <x v="7"/>
    <x v="1"/>
  </r>
  <r>
    <s v="TX501398"/>
    <x v="4"/>
    <x v="0"/>
    <n v="41.9"/>
    <x v="1151"/>
    <x v="52"/>
    <d v="2025-02-25T00:00:00"/>
    <s v="F"/>
    <x v="2"/>
    <x v="0"/>
    <x v="0"/>
    <x v="22"/>
    <x v="2"/>
    <x v="7"/>
    <x v="2"/>
  </r>
  <r>
    <s v="TX501399"/>
    <x v="1"/>
    <x v="12"/>
    <n v="37.5"/>
    <x v="638"/>
    <x v="52"/>
    <d v="2025-02-22T00:00:00"/>
    <s v="F"/>
    <x v="0"/>
    <x v="0"/>
    <x v="0"/>
    <x v="3"/>
    <x v="7"/>
    <x v="7"/>
    <x v="2"/>
  </r>
  <r>
    <s v="TX501400"/>
    <x v="0"/>
    <x v="1"/>
    <n v="40.799999999999997"/>
    <x v="330"/>
    <x v="52"/>
    <d v="2025-02-25T00:00:00"/>
    <s v="M"/>
    <x v="0"/>
    <x v="0"/>
    <x v="0"/>
    <x v="3"/>
    <x v="2"/>
    <x v="7"/>
    <x v="1"/>
  </r>
  <r>
    <s v="TX501401"/>
    <x v="0"/>
    <x v="12"/>
    <n v="23.1"/>
    <x v="1152"/>
    <x v="52"/>
    <d v="2025-02-23T00:00:00"/>
    <s v="F"/>
    <x v="4"/>
    <x v="0"/>
    <x v="0"/>
    <x v="3"/>
    <x v="3"/>
    <x v="7"/>
    <x v="2"/>
  </r>
  <r>
    <s v="TX501402"/>
    <x v="8"/>
    <x v="9"/>
    <n v="39.299999999999997"/>
    <x v="756"/>
    <x v="52"/>
    <d v="2025-02-23T00:00:00"/>
    <s v="F"/>
    <x v="0"/>
    <x v="0"/>
    <x v="0"/>
    <x v="3"/>
    <x v="3"/>
    <x v="7"/>
    <x v="2"/>
  </r>
  <r>
    <s v="TX501403"/>
    <x v="2"/>
    <x v="12"/>
    <n v="85.2"/>
    <x v="1153"/>
    <x v="52"/>
    <d v="2025-02-27T00:00:00"/>
    <s v="M"/>
    <x v="2"/>
    <x v="0"/>
    <x v="0"/>
    <x v="3"/>
    <x v="0"/>
    <x v="7"/>
    <x v="1"/>
  </r>
  <r>
    <s v="TX501404"/>
    <x v="8"/>
    <x v="13"/>
    <n v="16"/>
    <x v="854"/>
    <x v="52"/>
    <d v="2025-02-25T00:00:00"/>
    <s v="M"/>
    <x v="1"/>
    <x v="0"/>
    <x v="0"/>
    <x v="3"/>
    <x v="2"/>
    <x v="7"/>
    <x v="1"/>
  </r>
  <r>
    <s v="TX501405"/>
    <x v="1"/>
    <x v="1"/>
    <n v="33.799999999999997"/>
    <x v="821"/>
    <x v="52"/>
    <d v="2025-02-26T00:00:00"/>
    <s v="F"/>
    <x v="1"/>
    <x v="0"/>
    <x v="0"/>
    <x v="3"/>
    <x v="5"/>
    <x v="7"/>
    <x v="2"/>
  </r>
  <r>
    <s v="TX501406"/>
    <x v="3"/>
    <x v="0"/>
    <n v="70"/>
    <x v="1154"/>
    <x v="52"/>
    <d v="2025-02-23T00:00:00"/>
    <s v="F"/>
    <x v="0"/>
    <x v="0"/>
    <x v="0"/>
    <x v="3"/>
    <x v="3"/>
    <x v="7"/>
    <x v="2"/>
  </r>
  <r>
    <s v="TX501407"/>
    <x v="9"/>
    <x v="0"/>
    <n v="88"/>
    <x v="1155"/>
    <x v="52"/>
    <d v="2025-02-27T00:00:00"/>
    <s v="F"/>
    <x v="3"/>
    <x v="0"/>
    <x v="0"/>
    <x v="3"/>
    <x v="0"/>
    <x v="7"/>
    <x v="2"/>
  </r>
  <r>
    <s v="TX501408"/>
    <x v="2"/>
    <x v="2"/>
    <n v="74.099999999999994"/>
    <x v="1156"/>
    <x v="52"/>
    <d v="2025-02-22T00:00:00"/>
    <s v="M"/>
    <x v="4"/>
    <x v="1"/>
    <x v="0"/>
    <x v="3"/>
    <x v="7"/>
    <x v="7"/>
    <x v="1"/>
  </r>
  <r>
    <s v="TX501409"/>
    <x v="2"/>
    <x v="0"/>
    <n v="161.9"/>
    <x v="1157"/>
    <x v="52"/>
    <d v="2025-02-24T00:00:00"/>
    <s v="M"/>
    <x v="2"/>
    <x v="0"/>
    <x v="0"/>
    <x v="3"/>
    <x v="1"/>
    <x v="7"/>
    <x v="1"/>
  </r>
  <r>
    <s v="TX501410"/>
    <x v="4"/>
    <x v="1"/>
    <n v="44"/>
    <x v="1155"/>
    <x v="52"/>
    <d v="2025-02-23T00:00:00"/>
    <s v="O"/>
    <x v="4"/>
    <x v="1"/>
    <x v="0"/>
    <x v="3"/>
    <x v="3"/>
    <x v="7"/>
    <x v="3"/>
  </r>
  <r>
    <s v="TX501411"/>
    <x v="11"/>
    <x v="0"/>
    <n v="32.1"/>
    <x v="1158"/>
    <x v="52"/>
    <d v="2025-02-22T00:00:00"/>
    <s v="F"/>
    <x v="3"/>
    <x v="3"/>
    <x v="0"/>
    <x v="3"/>
    <x v="7"/>
    <x v="7"/>
    <x v="2"/>
  </r>
  <r>
    <s v="TX501412"/>
    <x v="2"/>
    <x v="12"/>
    <n v="104.8"/>
    <x v="1159"/>
    <x v="53"/>
    <d v="2025-02-25T00:00:00"/>
    <s v="O"/>
    <x v="0"/>
    <x v="0"/>
    <x v="0"/>
    <x v="3"/>
    <x v="1"/>
    <x v="8"/>
    <x v="3"/>
  </r>
  <r>
    <s v="TX501413"/>
    <x v="9"/>
    <x v="13"/>
    <n v="67.400000000000006"/>
    <x v="1160"/>
    <x v="53"/>
    <d v="2025-02-24T00:00:00"/>
    <s v="F"/>
    <x v="3"/>
    <x v="0"/>
    <x v="0"/>
    <x v="3"/>
    <x v="3"/>
    <x v="8"/>
    <x v="2"/>
  </r>
  <r>
    <s v="TX501414"/>
    <x v="6"/>
    <x v="1"/>
    <n v="115.2"/>
    <x v="1161"/>
    <x v="53"/>
    <d v="2025-02-24T00:00:00"/>
    <s v="F"/>
    <x v="1"/>
    <x v="0"/>
    <x v="0"/>
    <x v="4"/>
    <x v="3"/>
    <x v="8"/>
    <x v="2"/>
  </r>
  <r>
    <s v="TX501415"/>
    <x v="8"/>
    <x v="19"/>
    <n v="15.5"/>
    <x v="148"/>
    <x v="53"/>
    <d v="2025-02-25T00:00:00"/>
    <s v="F"/>
    <x v="0"/>
    <x v="1"/>
    <x v="0"/>
    <x v="23"/>
    <x v="1"/>
    <x v="8"/>
    <x v="2"/>
  </r>
  <r>
    <s v="TX501416"/>
    <x v="6"/>
    <x v="5"/>
    <n v="66.400000000000006"/>
    <x v="1162"/>
    <x v="53"/>
    <d v="2025-02-25T00:00:00"/>
    <s v="F"/>
    <x v="0"/>
    <x v="0"/>
    <x v="0"/>
    <x v="6"/>
    <x v="1"/>
    <x v="8"/>
    <x v="2"/>
  </r>
  <r>
    <s v="TX501417"/>
    <x v="9"/>
    <x v="4"/>
    <n v="68.099999999999994"/>
    <x v="1163"/>
    <x v="53"/>
    <d v="2025-02-24T00:00:00"/>
    <s v="F"/>
    <x v="2"/>
    <x v="0"/>
    <x v="0"/>
    <x v="8"/>
    <x v="3"/>
    <x v="8"/>
    <x v="2"/>
  </r>
  <r>
    <s v="TX501418"/>
    <x v="8"/>
    <x v="9"/>
    <n v="32.5"/>
    <x v="1164"/>
    <x v="53"/>
    <d v="2025-02-27T00:00:00"/>
    <s v="M"/>
    <x v="2"/>
    <x v="1"/>
    <x v="0"/>
    <x v="8"/>
    <x v="5"/>
    <x v="8"/>
    <x v="1"/>
  </r>
  <r>
    <s v="TX501419"/>
    <x v="15"/>
    <x v="2"/>
    <n v="61.2"/>
    <x v="1165"/>
    <x v="53"/>
    <d v="2025-02-25T00:00:00"/>
    <s v="F"/>
    <x v="1"/>
    <x v="1"/>
    <x v="0"/>
    <x v="8"/>
    <x v="1"/>
    <x v="8"/>
    <x v="2"/>
  </r>
  <r>
    <s v="TX501420"/>
    <x v="9"/>
    <x v="1"/>
    <n v="54.2"/>
    <x v="1061"/>
    <x v="53"/>
    <d v="2025-02-24T00:00:00"/>
    <s v="F"/>
    <x v="1"/>
    <x v="0"/>
    <x v="0"/>
    <x v="8"/>
    <x v="3"/>
    <x v="8"/>
    <x v="2"/>
  </r>
  <r>
    <s v="TX501421"/>
    <x v="11"/>
    <x v="8"/>
    <n v="28.7"/>
    <x v="1166"/>
    <x v="53"/>
    <d v="2025-02-25T00:00:00"/>
    <s v="M"/>
    <x v="1"/>
    <x v="0"/>
    <x v="0"/>
    <x v="9"/>
    <x v="1"/>
    <x v="8"/>
    <x v="1"/>
  </r>
  <r>
    <s v="TX501422"/>
    <x v="12"/>
    <x v="13"/>
    <n v="38.200000000000003"/>
    <x v="1167"/>
    <x v="53"/>
    <d v="2025-02-27T00:00:00"/>
    <s v="F"/>
    <x v="0"/>
    <x v="1"/>
    <x v="0"/>
    <x v="9"/>
    <x v="5"/>
    <x v="8"/>
    <x v="2"/>
  </r>
  <r>
    <s v="TX501423"/>
    <x v="8"/>
    <x v="4"/>
    <n v="17.600000000000001"/>
    <x v="1168"/>
    <x v="53"/>
    <d v="2025-02-24T00:00:00"/>
    <s v="F"/>
    <x v="2"/>
    <x v="1"/>
    <x v="0"/>
    <x v="9"/>
    <x v="3"/>
    <x v="8"/>
    <x v="2"/>
  </r>
  <r>
    <s v="TX501424"/>
    <x v="10"/>
    <x v="2"/>
    <n v="74.599999999999994"/>
    <x v="1169"/>
    <x v="53"/>
    <d v="2025-02-23T00:00:00"/>
    <s v="F"/>
    <x v="2"/>
    <x v="0"/>
    <x v="0"/>
    <x v="11"/>
    <x v="7"/>
    <x v="8"/>
    <x v="2"/>
  </r>
  <r>
    <s v="TX501425"/>
    <x v="16"/>
    <x v="20"/>
    <n v="72.599999999999994"/>
    <x v="1170"/>
    <x v="53"/>
    <d v="2025-02-23T00:00:00"/>
    <s v=""/>
    <x v="1"/>
    <x v="1"/>
    <x v="0"/>
    <x v="11"/>
    <x v="7"/>
    <x v="8"/>
    <x v="0"/>
  </r>
  <r>
    <s v="TX501426"/>
    <x v="7"/>
    <x v="0"/>
    <n v="62.3"/>
    <x v="1030"/>
    <x v="53"/>
    <d v="2025-02-24T00:00:00"/>
    <s v="F"/>
    <x v="1"/>
    <x v="0"/>
    <x v="0"/>
    <x v="11"/>
    <x v="3"/>
    <x v="8"/>
    <x v="2"/>
  </r>
  <r>
    <s v="TX501427"/>
    <x v="3"/>
    <x v="2"/>
    <n v="33.799999999999997"/>
    <x v="1171"/>
    <x v="53"/>
    <d v="2025-02-25T00:00:00"/>
    <s v="M"/>
    <x v="0"/>
    <x v="2"/>
    <x v="0"/>
    <x v="20"/>
    <x v="1"/>
    <x v="8"/>
    <x v="1"/>
  </r>
  <r>
    <s v="TX501428"/>
    <x v="9"/>
    <x v="0"/>
    <n v="85.7"/>
    <x v="1172"/>
    <x v="53"/>
    <d v="2025-02-26T00:00:00"/>
    <s v="M"/>
    <x v="3"/>
    <x v="1"/>
    <x v="0"/>
    <x v="21"/>
    <x v="2"/>
    <x v="8"/>
    <x v="1"/>
  </r>
  <r>
    <s v="TX501429"/>
    <x v="6"/>
    <x v="1"/>
    <n v="92.1"/>
    <x v="1173"/>
    <x v="53"/>
    <d v="2025-02-25T00:00:00"/>
    <s v="M"/>
    <x v="1"/>
    <x v="0"/>
    <x v="0"/>
    <x v="21"/>
    <x v="1"/>
    <x v="8"/>
    <x v="1"/>
  </r>
  <r>
    <s v="TX501430"/>
    <x v="16"/>
    <x v="2"/>
    <n v="65.099999999999994"/>
    <x v="1174"/>
    <x v="53"/>
    <d v="2025-02-26T00:00:00"/>
    <s v="M"/>
    <x v="0"/>
    <x v="0"/>
    <x v="0"/>
    <x v="1"/>
    <x v="2"/>
    <x v="8"/>
    <x v="1"/>
  </r>
  <r>
    <s v="TX501431"/>
    <x v="9"/>
    <x v="3"/>
    <n v="20.3"/>
    <x v="1175"/>
    <x v="53"/>
    <d v="2025-02-24T00:00:00"/>
    <s v="F"/>
    <x v="2"/>
    <x v="2"/>
    <x v="0"/>
    <x v="2"/>
    <x v="3"/>
    <x v="8"/>
    <x v="2"/>
  </r>
  <r>
    <s v="TX501432"/>
    <x v="19"/>
    <x v="1"/>
    <n v="29.8"/>
    <x v="1176"/>
    <x v="53"/>
    <d v="2025-02-25T00:00:00"/>
    <s v="F"/>
    <x v="1"/>
    <x v="2"/>
    <x v="0"/>
    <x v="34"/>
    <x v="1"/>
    <x v="8"/>
    <x v="2"/>
  </r>
  <r>
    <s v="TX501433"/>
    <x v="0"/>
    <x v="1"/>
    <n v="24.2"/>
    <x v="655"/>
    <x v="53"/>
    <d v="2025-02-25T00:00:00"/>
    <s v="F"/>
    <x v="3"/>
    <x v="2"/>
    <x v="0"/>
    <x v="3"/>
    <x v="1"/>
    <x v="8"/>
    <x v="2"/>
  </r>
  <r>
    <s v="TX501434"/>
    <x v="3"/>
    <x v="0"/>
    <n v="57.3"/>
    <x v="1177"/>
    <x v="53"/>
    <d v="2025-02-25T00:00:00"/>
    <s v="M"/>
    <x v="0"/>
    <x v="0"/>
    <x v="0"/>
    <x v="3"/>
    <x v="1"/>
    <x v="8"/>
    <x v="1"/>
  </r>
  <r>
    <s v="TX501435"/>
    <x v="2"/>
    <x v="0"/>
    <n v="108.9"/>
    <x v="1178"/>
    <x v="53"/>
    <d v="2025-02-25T00:00:00"/>
    <s v="F"/>
    <x v="1"/>
    <x v="0"/>
    <x v="0"/>
    <x v="3"/>
    <x v="1"/>
    <x v="8"/>
    <x v="2"/>
  </r>
  <r>
    <s v="TX501436"/>
    <x v="7"/>
    <x v="9"/>
    <n v="50.7"/>
    <x v="103"/>
    <x v="53"/>
    <d v="2025-02-24T00:00:00"/>
    <s v="F"/>
    <x v="0"/>
    <x v="0"/>
    <x v="0"/>
    <x v="3"/>
    <x v="3"/>
    <x v="8"/>
    <x v="2"/>
  </r>
  <r>
    <s v="TX501437"/>
    <x v="7"/>
    <x v="11"/>
    <n v="66.099999999999994"/>
    <x v="1179"/>
    <x v="53"/>
    <d v="2025-03-09T00:00:00"/>
    <s v="F"/>
    <x v="1"/>
    <x v="0"/>
    <x v="0"/>
    <x v="3"/>
    <x v="12"/>
    <x v="8"/>
    <x v="2"/>
  </r>
  <r>
    <s v="TX501438"/>
    <x v="12"/>
    <x v="9"/>
    <n v="36.700000000000003"/>
    <x v="1180"/>
    <x v="53"/>
    <d v="2025-02-27T00:00:00"/>
    <s v="F"/>
    <x v="4"/>
    <x v="0"/>
    <x v="0"/>
    <x v="3"/>
    <x v="5"/>
    <x v="8"/>
    <x v="2"/>
  </r>
  <r>
    <s v="TX501439"/>
    <x v="8"/>
    <x v="14"/>
    <n v="19.3"/>
    <x v="1181"/>
    <x v="53"/>
    <d v="2025-02-25T00:00:00"/>
    <s v="M"/>
    <x v="0"/>
    <x v="0"/>
    <x v="0"/>
    <x v="43"/>
    <x v="1"/>
    <x v="8"/>
    <x v="1"/>
  </r>
  <r>
    <s v="TX501440"/>
    <x v="8"/>
    <x v="12"/>
    <n v="20.7"/>
    <x v="1182"/>
    <x v="53"/>
    <d v="2025-02-24T00:00:00"/>
    <s v="M"/>
    <x v="1"/>
    <x v="2"/>
    <x v="0"/>
    <x v="6"/>
    <x v="3"/>
    <x v="8"/>
    <x v="1"/>
  </r>
  <r>
    <s v="TX501441"/>
    <x v="5"/>
    <x v="2"/>
    <n v="54.7"/>
    <x v="1183"/>
    <x v="53"/>
    <d v="2025-02-23T00:00:00"/>
    <s v="O"/>
    <x v="1"/>
    <x v="4"/>
    <x v="0"/>
    <x v="6"/>
    <x v="7"/>
    <x v="8"/>
    <x v="3"/>
  </r>
  <r>
    <s v="TX501442"/>
    <x v="4"/>
    <x v="1"/>
    <n v="19.8"/>
    <x v="341"/>
    <x v="53"/>
    <d v="2025-02-27T00:00:00"/>
    <s v="F"/>
    <x v="4"/>
    <x v="1"/>
    <x v="0"/>
    <x v="8"/>
    <x v="5"/>
    <x v="8"/>
    <x v="2"/>
  </r>
  <r>
    <s v="TX501443"/>
    <x v="7"/>
    <x v="0"/>
    <n v="41.1"/>
    <x v="1184"/>
    <x v="53"/>
    <d v="2025-02-25T00:00:00"/>
    <s v="F"/>
    <x v="0"/>
    <x v="2"/>
    <x v="0"/>
    <x v="8"/>
    <x v="1"/>
    <x v="8"/>
    <x v="2"/>
  </r>
  <r>
    <s v="TX501444"/>
    <x v="11"/>
    <x v="8"/>
    <n v="43.5"/>
    <x v="1185"/>
    <x v="53"/>
    <d v="2025-02-27T00:00:00"/>
    <s v="F"/>
    <x v="3"/>
    <x v="0"/>
    <x v="0"/>
    <x v="8"/>
    <x v="5"/>
    <x v="8"/>
    <x v="2"/>
  </r>
  <r>
    <s v="TX501445"/>
    <x v="8"/>
    <x v="21"/>
    <n v="19"/>
    <x v="751"/>
    <x v="53"/>
    <d v="2025-02-24T00:00:00"/>
    <s v="M"/>
    <x v="0"/>
    <x v="0"/>
    <x v="0"/>
    <x v="26"/>
    <x v="3"/>
    <x v="8"/>
    <x v="1"/>
  </r>
  <r>
    <s v="TX501446"/>
    <x v="2"/>
    <x v="12"/>
    <n v="51.4"/>
    <x v="1186"/>
    <x v="53"/>
    <d v="2025-02-23T00:00:00"/>
    <s v="F"/>
    <x v="0"/>
    <x v="0"/>
    <x v="0"/>
    <x v="26"/>
    <x v="7"/>
    <x v="8"/>
    <x v="2"/>
  </r>
  <r>
    <s v="TX501447"/>
    <x v="10"/>
    <x v="1"/>
    <n v="39.799999999999997"/>
    <x v="1187"/>
    <x v="53"/>
    <d v="2025-02-26T00:00:00"/>
    <s v="M"/>
    <x v="3"/>
    <x v="1"/>
    <x v="0"/>
    <x v="13"/>
    <x v="2"/>
    <x v="8"/>
    <x v="1"/>
  </r>
  <r>
    <s v="TX501448"/>
    <x v="6"/>
    <x v="9"/>
    <n v="61"/>
    <x v="1188"/>
    <x v="53"/>
    <d v="2025-02-24T00:00:00"/>
    <s v=""/>
    <x v="0"/>
    <x v="2"/>
    <x v="0"/>
    <x v="21"/>
    <x v="3"/>
    <x v="8"/>
    <x v="0"/>
  </r>
  <r>
    <s v="TX501449"/>
    <x v="8"/>
    <x v="5"/>
    <n v="15.1"/>
    <x v="1189"/>
    <x v="54"/>
    <d v="2025-03-01T00:00:00"/>
    <s v="M"/>
    <x v="3"/>
    <x v="2"/>
    <x v="0"/>
    <x v="2"/>
    <x v="0"/>
    <x v="8"/>
    <x v="1"/>
  </r>
  <r>
    <s v="TX501450"/>
    <x v="1"/>
    <x v="3"/>
    <n v="71.3"/>
    <x v="1190"/>
    <x v="54"/>
    <d v="2025-02-25T00:00:00"/>
    <s v="M"/>
    <x v="4"/>
    <x v="0"/>
    <x v="0"/>
    <x v="3"/>
    <x v="3"/>
    <x v="8"/>
    <x v="1"/>
  </r>
  <r>
    <s v="TX501451"/>
    <x v="10"/>
    <x v="0"/>
    <n v="25.8"/>
    <x v="1191"/>
    <x v="54"/>
    <d v="2025-02-26T00:00:00"/>
    <s v="F"/>
    <x v="0"/>
    <x v="2"/>
    <x v="0"/>
    <x v="3"/>
    <x v="1"/>
    <x v="8"/>
    <x v="2"/>
  </r>
  <r>
    <s v="TX501452"/>
    <x v="8"/>
    <x v="9"/>
    <n v="39.6"/>
    <x v="1192"/>
    <x v="54"/>
    <d v="2025-02-26T00:00:00"/>
    <s v="M"/>
    <x v="1"/>
    <x v="2"/>
    <x v="0"/>
    <x v="3"/>
    <x v="1"/>
    <x v="8"/>
    <x v="1"/>
  </r>
  <r>
    <s v="TX501453"/>
    <x v="5"/>
    <x v="1"/>
    <n v="64"/>
    <x v="1193"/>
    <x v="54"/>
    <d v="2025-02-24T00:00:00"/>
    <s v="M"/>
    <x v="1"/>
    <x v="1"/>
    <x v="0"/>
    <x v="3"/>
    <x v="7"/>
    <x v="8"/>
    <x v="1"/>
  </r>
  <r>
    <s v="TX501454"/>
    <x v="8"/>
    <x v="1"/>
    <n v="30.6"/>
    <x v="1"/>
    <x v="54"/>
    <d v="2025-02-27T00:00:00"/>
    <s v="M"/>
    <x v="0"/>
    <x v="2"/>
    <x v="0"/>
    <x v="3"/>
    <x v="2"/>
    <x v="8"/>
    <x v="1"/>
  </r>
  <r>
    <s v="TX501455"/>
    <x v="8"/>
    <x v="1"/>
    <n v="21.3"/>
    <x v="440"/>
    <x v="54"/>
    <d v="2025-02-25T00:00:00"/>
    <s v="M"/>
    <x v="0"/>
    <x v="1"/>
    <x v="0"/>
    <x v="3"/>
    <x v="3"/>
    <x v="8"/>
    <x v="1"/>
  </r>
  <r>
    <s v="TX501456"/>
    <x v="7"/>
    <x v="0"/>
    <n v="40.799999999999997"/>
    <x v="803"/>
    <x v="54"/>
    <d v="2025-02-26T00:00:00"/>
    <s v="F"/>
    <x v="4"/>
    <x v="0"/>
    <x v="0"/>
    <x v="3"/>
    <x v="1"/>
    <x v="8"/>
    <x v="2"/>
  </r>
  <r>
    <s v="TX501457"/>
    <x v="9"/>
    <x v="12"/>
    <n v="27.7"/>
    <x v="806"/>
    <x v="54"/>
    <d v="2025-02-25T00:00:00"/>
    <s v="F"/>
    <x v="0"/>
    <x v="1"/>
    <x v="0"/>
    <x v="3"/>
    <x v="3"/>
    <x v="8"/>
    <x v="2"/>
  </r>
  <r>
    <s v="TX501458"/>
    <x v="6"/>
    <x v="1"/>
    <n v="64.599999999999994"/>
    <x v="769"/>
    <x v="54"/>
    <d v="2025-02-25T00:00:00"/>
    <s v="M"/>
    <x v="0"/>
    <x v="1"/>
    <x v="0"/>
    <x v="3"/>
    <x v="3"/>
    <x v="8"/>
    <x v="1"/>
  </r>
  <r>
    <s v="TX501459"/>
    <x v="6"/>
    <x v="27"/>
    <n v="91.1"/>
    <x v="1194"/>
    <x v="54"/>
    <d v="2025-02-25T00:00:00"/>
    <s v="F"/>
    <x v="1"/>
    <x v="2"/>
    <x v="0"/>
    <x v="3"/>
    <x v="3"/>
    <x v="8"/>
    <x v="2"/>
  </r>
  <r>
    <s v="TX501460"/>
    <x v="1"/>
    <x v="0"/>
    <n v="39.5"/>
    <x v="736"/>
    <x v="54"/>
    <d v="2025-03-04T00:00:00"/>
    <s v="F"/>
    <x v="0"/>
    <x v="0"/>
    <x v="0"/>
    <x v="3"/>
    <x v="9"/>
    <x v="8"/>
    <x v="2"/>
  </r>
  <r>
    <s v="TX501461"/>
    <x v="9"/>
    <x v="1"/>
    <n v="21.8"/>
    <x v="1195"/>
    <x v="54"/>
    <d v="2025-02-28T00:00:00"/>
    <s v="M"/>
    <x v="4"/>
    <x v="2"/>
    <x v="0"/>
    <x v="3"/>
    <x v="5"/>
    <x v="8"/>
    <x v="1"/>
  </r>
  <r>
    <s v="TX501462"/>
    <x v="8"/>
    <x v="1"/>
    <n v="51"/>
    <x v="1062"/>
    <x v="54"/>
    <d v="2025-02-27T00:00:00"/>
    <s v="M"/>
    <x v="3"/>
    <x v="2"/>
    <x v="0"/>
    <x v="3"/>
    <x v="2"/>
    <x v="8"/>
    <x v="1"/>
  </r>
  <r>
    <s v="TX501463"/>
    <x v="2"/>
    <x v="0"/>
    <n v="92.6"/>
    <x v="1196"/>
    <x v="54"/>
    <d v="2025-02-27T00:00:00"/>
    <s v="F"/>
    <x v="0"/>
    <x v="2"/>
    <x v="0"/>
    <x v="35"/>
    <x v="2"/>
    <x v="8"/>
    <x v="2"/>
  </r>
  <r>
    <s v="TX501464"/>
    <x v="9"/>
    <x v="1"/>
    <n v="31.1"/>
    <x v="1197"/>
    <x v="54"/>
    <d v="2025-03-01T00:00:00"/>
    <s v=""/>
    <x v="1"/>
    <x v="3"/>
    <x v="0"/>
    <x v="23"/>
    <x v="0"/>
    <x v="8"/>
    <x v="0"/>
  </r>
  <r>
    <s v="TX501465"/>
    <x v="5"/>
    <x v="2"/>
    <n v="56.4"/>
    <x v="362"/>
    <x v="54"/>
    <d v="2025-02-25T00:00:00"/>
    <s v=""/>
    <x v="1"/>
    <x v="0"/>
    <x v="0"/>
    <x v="6"/>
    <x v="3"/>
    <x v="8"/>
    <x v="0"/>
  </r>
  <r>
    <s v="TX501466"/>
    <x v="9"/>
    <x v="0"/>
    <n v="41.9"/>
    <x v="1151"/>
    <x v="54"/>
    <d v="2025-02-24T00:00:00"/>
    <s v="M"/>
    <x v="1"/>
    <x v="0"/>
    <x v="0"/>
    <x v="6"/>
    <x v="7"/>
    <x v="8"/>
    <x v="1"/>
  </r>
  <r>
    <s v="TX501467"/>
    <x v="10"/>
    <x v="3"/>
    <n v="45.9"/>
    <x v="1198"/>
    <x v="54"/>
    <d v="2025-02-25T00:00:00"/>
    <s v="M"/>
    <x v="3"/>
    <x v="2"/>
    <x v="0"/>
    <x v="8"/>
    <x v="3"/>
    <x v="8"/>
    <x v="1"/>
  </r>
  <r>
    <s v="TX501468"/>
    <x v="14"/>
    <x v="11"/>
    <n v="24.4"/>
    <x v="1199"/>
    <x v="54"/>
    <d v="2025-02-28T00:00:00"/>
    <s v="M"/>
    <x v="3"/>
    <x v="2"/>
    <x v="0"/>
    <x v="8"/>
    <x v="5"/>
    <x v="8"/>
    <x v="1"/>
  </r>
  <r>
    <s v="TX501469"/>
    <x v="8"/>
    <x v="0"/>
    <n v="18.2"/>
    <x v="1200"/>
    <x v="54"/>
    <d v="2025-02-25T00:00:00"/>
    <s v="F"/>
    <x v="2"/>
    <x v="2"/>
    <x v="0"/>
    <x v="8"/>
    <x v="3"/>
    <x v="8"/>
    <x v="2"/>
  </r>
  <r>
    <s v="TX501470"/>
    <x v="8"/>
    <x v="12"/>
    <n v="51.2"/>
    <x v="403"/>
    <x v="54"/>
    <d v="2025-02-25T00:00:00"/>
    <s v="F"/>
    <x v="0"/>
    <x v="0"/>
    <x v="0"/>
    <x v="8"/>
    <x v="3"/>
    <x v="8"/>
    <x v="2"/>
  </r>
  <r>
    <s v="TX501471"/>
    <x v="6"/>
    <x v="0"/>
    <n v="59.7"/>
    <x v="1201"/>
    <x v="54"/>
    <d v="2025-02-27T00:00:00"/>
    <s v="M"/>
    <x v="0"/>
    <x v="2"/>
    <x v="0"/>
    <x v="8"/>
    <x v="2"/>
    <x v="8"/>
    <x v="1"/>
  </r>
  <r>
    <s v="TX501472"/>
    <x v="4"/>
    <x v="1"/>
    <n v="33.6"/>
    <x v="863"/>
    <x v="54"/>
    <d v="2025-02-26T00:00:00"/>
    <s v="F"/>
    <x v="0"/>
    <x v="0"/>
    <x v="0"/>
    <x v="17"/>
    <x v="1"/>
    <x v="8"/>
    <x v="2"/>
  </r>
  <r>
    <s v="TX501473"/>
    <x v="12"/>
    <x v="0"/>
    <n v="90.4"/>
    <x v="786"/>
    <x v="54"/>
    <d v="2025-02-28T00:00:00"/>
    <s v="M"/>
    <x v="1"/>
    <x v="2"/>
    <x v="0"/>
    <x v="10"/>
    <x v="5"/>
    <x v="8"/>
    <x v="1"/>
  </r>
  <r>
    <s v="TX501474"/>
    <x v="11"/>
    <x v="2"/>
    <n v="70.3"/>
    <x v="1202"/>
    <x v="54"/>
    <d v="2025-02-24T00:00:00"/>
    <s v="M"/>
    <x v="1"/>
    <x v="2"/>
    <x v="0"/>
    <x v="11"/>
    <x v="7"/>
    <x v="8"/>
    <x v="1"/>
  </r>
  <r>
    <s v="TX501475"/>
    <x v="4"/>
    <x v="1"/>
    <n v="20.5"/>
    <x v="783"/>
    <x v="54"/>
    <d v="2025-02-27T00:00:00"/>
    <s v="F"/>
    <x v="0"/>
    <x v="1"/>
    <x v="0"/>
    <x v="11"/>
    <x v="2"/>
    <x v="8"/>
    <x v="2"/>
  </r>
  <r>
    <s v="TX501476"/>
    <x v="5"/>
    <x v="5"/>
    <n v="37.6"/>
    <x v="1203"/>
    <x v="54"/>
    <d v="2025-02-25T00:00:00"/>
    <s v="M"/>
    <x v="0"/>
    <x v="0"/>
    <x v="0"/>
    <x v="38"/>
    <x v="3"/>
    <x v="8"/>
    <x v="1"/>
  </r>
  <r>
    <s v="TX501477"/>
    <x v="5"/>
    <x v="12"/>
    <n v="61.5"/>
    <x v="1204"/>
    <x v="54"/>
    <d v="2025-03-03T00:00:00"/>
    <s v="F"/>
    <x v="1"/>
    <x v="4"/>
    <x v="0"/>
    <x v="13"/>
    <x v="6"/>
    <x v="8"/>
    <x v="2"/>
  </r>
  <r>
    <s v="TX501478"/>
    <x v="9"/>
    <x v="0"/>
    <n v="33.5"/>
    <x v="253"/>
    <x v="55"/>
    <d v="2025-03-01T00:00:00"/>
    <s v="M"/>
    <x v="4"/>
    <x v="1"/>
    <x v="0"/>
    <x v="21"/>
    <x v="5"/>
    <x v="8"/>
    <x v="1"/>
  </r>
  <r>
    <s v="TX501479"/>
    <x v="4"/>
    <x v="2"/>
    <n v="29.3"/>
    <x v="1205"/>
    <x v="55"/>
    <d v="2025-02-27T00:00:00"/>
    <s v="F"/>
    <x v="1"/>
    <x v="2"/>
    <x v="0"/>
    <x v="1"/>
    <x v="1"/>
    <x v="8"/>
    <x v="2"/>
  </r>
  <r>
    <s v="TX501480"/>
    <x v="2"/>
    <x v="1"/>
    <n v="125.9"/>
    <x v="1206"/>
    <x v="55"/>
    <d v="2025-03-02T00:00:00"/>
    <s v="F"/>
    <x v="4"/>
    <x v="1"/>
    <x v="0"/>
    <x v="1"/>
    <x v="0"/>
    <x v="8"/>
    <x v="2"/>
  </r>
  <r>
    <s v="TX501481"/>
    <x v="5"/>
    <x v="9"/>
    <n v="29.3"/>
    <x v="1207"/>
    <x v="55"/>
    <d v="2025-02-25T00:00:00"/>
    <s v="M"/>
    <x v="2"/>
    <x v="0"/>
    <x v="0"/>
    <x v="44"/>
    <x v="7"/>
    <x v="8"/>
    <x v="1"/>
  </r>
  <r>
    <s v="TX501482"/>
    <x v="9"/>
    <x v="0"/>
    <n v="37.799999999999997"/>
    <x v="463"/>
    <x v="55"/>
    <d v="2025-02-28T00:00:00"/>
    <s v="F"/>
    <x v="0"/>
    <x v="2"/>
    <x v="0"/>
    <x v="3"/>
    <x v="2"/>
    <x v="8"/>
    <x v="2"/>
  </r>
  <r>
    <s v="TX501483"/>
    <x v="0"/>
    <x v="12"/>
    <n v="31.7"/>
    <x v="1208"/>
    <x v="55"/>
    <d v="2025-02-26T00:00:00"/>
    <s v="M"/>
    <x v="2"/>
    <x v="2"/>
    <x v="0"/>
    <x v="3"/>
    <x v="3"/>
    <x v="8"/>
    <x v="1"/>
  </r>
  <r>
    <s v="TX501484"/>
    <x v="8"/>
    <x v="9"/>
    <n v="26.3"/>
    <x v="1209"/>
    <x v="55"/>
    <d v="2025-02-26T00:00:00"/>
    <s v="F"/>
    <x v="3"/>
    <x v="2"/>
    <x v="0"/>
    <x v="3"/>
    <x v="3"/>
    <x v="8"/>
    <x v="2"/>
  </r>
  <r>
    <s v="TX501485"/>
    <x v="8"/>
    <x v="2"/>
    <n v="23.1"/>
    <x v="59"/>
    <x v="55"/>
    <d v="2025-02-26T00:00:00"/>
    <s v="O"/>
    <x v="2"/>
    <x v="1"/>
    <x v="0"/>
    <x v="3"/>
    <x v="3"/>
    <x v="8"/>
    <x v="3"/>
  </r>
  <r>
    <s v="TX501486"/>
    <x v="4"/>
    <x v="0"/>
    <n v="22.3"/>
    <x v="968"/>
    <x v="55"/>
    <d v="2025-02-27T00:00:00"/>
    <s v="F"/>
    <x v="2"/>
    <x v="0"/>
    <x v="0"/>
    <x v="3"/>
    <x v="1"/>
    <x v="8"/>
    <x v="2"/>
  </r>
  <r>
    <s v="TX501487"/>
    <x v="12"/>
    <x v="1"/>
    <n v="99.5"/>
    <x v="1210"/>
    <x v="55"/>
    <d v="2025-02-27T00:00:00"/>
    <s v="F"/>
    <x v="2"/>
    <x v="0"/>
    <x v="0"/>
    <x v="3"/>
    <x v="1"/>
    <x v="8"/>
    <x v="2"/>
  </r>
  <r>
    <s v="TX501488"/>
    <x v="12"/>
    <x v="12"/>
    <n v="47.4"/>
    <x v="455"/>
    <x v="55"/>
    <d v="2025-02-28T00:00:00"/>
    <s v="F"/>
    <x v="1"/>
    <x v="0"/>
    <x v="0"/>
    <x v="3"/>
    <x v="2"/>
    <x v="8"/>
    <x v="2"/>
  </r>
  <r>
    <s v="TX501489"/>
    <x v="0"/>
    <x v="5"/>
    <n v="37.5"/>
    <x v="1211"/>
    <x v="55"/>
    <d v="2025-02-27T00:00:00"/>
    <s v="F"/>
    <x v="0"/>
    <x v="3"/>
    <x v="0"/>
    <x v="3"/>
    <x v="1"/>
    <x v="8"/>
    <x v="2"/>
  </r>
  <r>
    <s v="TX501490"/>
    <x v="10"/>
    <x v="0"/>
    <n v="45.1"/>
    <x v="1212"/>
    <x v="55"/>
    <d v="2025-03-02T00:00:00"/>
    <s v="M"/>
    <x v="3"/>
    <x v="2"/>
    <x v="0"/>
    <x v="24"/>
    <x v="0"/>
    <x v="8"/>
    <x v="1"/>
  </r>
  <r>
    <s v="TX501491"/>
    <x v="5"/>
    <x v="7"/>
    <n v="34.4"/>
    <x v="1213"/>
    <x v="55"/>
    <d v="2025-02-28T00:00:00"/>
    <s v="M"/>
    <x v="2"/>
    <x v="0"/>
    <x v="0"/>
    <x v="16"/>
    <x v="2"/>
    <x v="8"/>
    <x v="1"/>
  </r>
  <r>
    <s v="TX501492"/>
    <x v="4"/>
    <x v="1"/>
    <n v="38"/>
    <x v="998"/>
    <x v="55"/>
    <d v="2025-02-27T00:00:00"/>
    <s v="F"/>
    <x v="1"/>
    <x v="0"/>
    <x v="0"/>
    <x v="5"/>
    <x v="1"/>
    <x v="8"/>
    <x v="2"/>
  </r>
  <r>
    <s v="TX501493"/>
    <x v="3"/>
    <x v="21"/>
    <n v="32.4"/>
    <x v="1214"/>
    <x v="55"/>
    <d v="2025-02-28T00:00:00"/>
    <s v="M"/>
    <x v="4"/>
    <x v="0"/>
    <x v="0"/>
    <x v="6"/>
    <x v="2"/>
    <x v="8"/>
    <x v="1"/>
  </r>
  <r>
    <s v="TX501494"/>
    <x v="6"/>
    <x v="2"/>
    <n v="40.9"/>
    <x v="544"/>
    <x v="55"/>
    <d v="2025-02-25T00:00:00"/>
    <s v=""/>
    <x v="1"/>
    <x v="0"/>
    <x v="0"/>
    <x v="8"/>
    <x v="7"/>
    <x v="8"/>
    <x v="0"/>
  </r>
  <r>
    <s v="TX501495"/>
    <x v="7"/>
    <x v="3"/>
    <n v="76.2"/>
    <x v="1215"/>
    <x v="55"/>
    <d v="2025-02-27T00:00:00"/>
    <s v="F"/>
    <x v="2"/>
    <x v="1"/>
    <x v="0"/>
    <x v="8"/>
    <x v="1"/>
    <x v="8"/>
    <x v="2"/>
  </r>
  <r>
    <s v="TX501496"/>
    <x v="2"/>
    <x v="0"/>
    <n v="85.6"/>
    <x v="1216"/>
    <x v="55"/>
    <d v="2025-02-27T00:00:00"/>
    <s v="M"/>
    <x v="2"/>
    <x v="0"/>
    <x v="0"/>
    <x v="8"/>
    <x v="1"/>
    <x v="8"/>
    <x v="1"/>
  </r>
  <r>
    <s v="TX501497"/>
    <x v="4"/>
    <x v="12"/>
    <n v="25"/>
    <x v="1217"/>
    <x v="55"/>
    <d v="2025-02-27T00:00:00"/>
    <s v="F"/>
    <x v="2"/>
    <x v="2"/>
    <x v="0"/>
    <x v="8"/>
    <x v="1"/>
    <x v="8"/>
    <x v="2"/>
  </r>
  <r>
    <s v="TX501498"/>
    <x v="2"/>
    <x v="9"/>
    <n v="150.69999999999999"/>
    <x v="1218"/>
    <x v="55"/>
    <d v="2025-02-26T00:00:00"/>
    <s v=""/>
    <x v="0"/>
    <x v="2"/>
    <x v="0"/>
    <x v="8"/>
    <x v="3"/>
    <x v="8"/>
    <x v="0"/>
  </r>
  <r>
    <s v="TX501499"/>
    <x v="8"/>
    <x v="0"/>
    <n v="19.600000000000001"/>
    <x v="1219"/>
    <x v="55"/>
    <d v="2025-02-26T00:00:00"/>
    <s v="M"/>
    <x v="1"/>
    <x v="4"/>
    <x v="0"/>
    <x v="8"/>
    <x v="3"/>
    <x v="8"/>
    <x v="1"/>
  </r>
  <r>
    <s v="TX501500"/>
    <x v="13"/>
    <x v="1"/>
    <n v="37.5"/>
    <x v="611"/>
    <x v="55"/>
    <d v="2025-02-28T00:00:00"/>
    <s v="F"/>
    <x v="1"/>
    <x v="2"/>
    <x v="0"/>
    <x v="17"/>
    <x v="2"/>
    <x v="8"/>
    <x v="2"/>
  </r>
  <r>
    <s v="TX501501"/>
    <x v="9"/>
    <x v="2"/>
    <n v="51.9"/>
    <x v="515"/>
    <x v="55"/>
    <d v="2025-03-03T00:00:00"/>
    <s v="F"/>
    <x v="0"/>
    <x v="4"/>
    <x v="0"/>
    <x v="11"/>
    <x v="4"/>
    <x v="8"/>
    <x v="2"/>
  </r>
  <r>
    <s v="TX501502"/>
    <x v="1"/>
    <x v="1"/>
    <n v="30.9"/>
    <x v="546"/>
    <x v="55"/>
    <d v="2025-02-27T00:00:00"/>
    <s v="F"/>
    <x v="1"/>
    <x v="0"/>
    <x v="0"/>
    <x v="18"/>
    <x v="1"/>
    <x v="8"/>
    <x v="2"/>
  </r>
  <r>
    <s v="TX501503"/>
    <x v="4"/>
    <x v="2"/>
    <n v="21.2"/>
    <x v="1220"/>
    <x v="55"/>
    <d v="2025-02-28T00:00:00"/>
    <s v="F"/>
    <x v="1"/>
    <x v="0"/>
    <x v="0"/>
    <x v="19"/>
    <x v="2"/>
    <x v="8"/>
    <x v="2"/>
  </r>
  <r>
    <s v="TX501504"/>
    <x v="13"/>
    <x v="14"/>
    <n v="17.5"/>
    <x v="1221"/>
    <x v="55"/>
    <d v="2025-02-26T00:00:00"/>
    <s v="M"/>
    <x v="1"/>
    <x v="1"/>
    <x v="0"/>
    <x v="13"/>
    <x v="3"/>
    <x v="8"/>
    <x v="1"/>
  </r>
  <r>
    <s v="TX501505"/>
    <x v="12"/>
    <x v="1"/>
    <n v="53.8"/>
    <x v="799"/>
    <x v="55"/>
    <d v="2025-03-02T00:00:00"/>
    <s v="F"/>
    <x v="0"/>
    <x v="2"/>
    <x v="0"/>
    <x v="21"/>
    <x v="0"/>
    <x v="8"/>
    <x v="2"/>
  </r>
  <r>
    <s v="TX501506"/>
    <x v="19"/>
    <x v="1"/>
    <n v="17"/>
    <x v="1222"/>
    <x v="55"/>
    <d v="2025-02-26T00:00:00"/>
    <s v="M"/>
    <x v="3"/>
    <x v="0"/>
    <x v="0"/>
    <x v="21"/>
    <x v="3"/>
    <x v="8"/>
    <x v="1"/>
  </r>
  <r>
    <s v="TX501507"/>
    <x v="6"/>
    <x v="0"/>
    <n v="103.2"/>
    <x v="1223"/>
    <x v="55"/>
    <d v="2025-03-05T00:00:00"/>
    <s v="M"/>
    <x v="2"/>
    <x v="1"/>
    <x v="0"/>
    <x v="1"/>
    <x v="9"/>
    <x v="8"/>
    <x v="1"/>
  </r>
  <r>
    <s v="TX501508"/>
    <x v="6"/>
    <x v="12"/>
    <n v="70.3"/>
    <x v="552"/>
    <x v="55"/>
    <d v="2025-02-26T00:00:00"/>
    <s v="M"/>
    <x v="0"/>
    <x v="0"/>
    <x v="0"/>
    <x v="3"/>
    <x v="3"/>
    <x v="8"/>
    <x v="1"/>
  </r>
  <r>
    <s v="TX501509"/>
    <x v="2"/>
    <x v="1"/>
    <n v="73.8"/>
    <x v="1224"/>
    <x v="55"/>
    <d v="2025-02-25T00:00:00"/>
    <s v="M"/>
    <x v="3"/>
    <x v="2"/>
    <x v="0"/>
    <x v="3"/>
    <x v="7"/>
    <x v="8"/>
    <x v="1"/>
  </r>
  <r>
    <s v="TX501510"/>
    <x v="1"/>
    <x v="4"/>
    <n v="67.7"/>
    <x v="1225"/>
    <x v="55"/>
    <d v="2025-03-01T00:00:00"/>
    <s v="M"/>
    <x v="1"/>
    <x v="1"/>
    <x v="0"/>
    <x v="3"/>
    <x v="5"/>
    <x v="8"/>
    <x v="1"/>
  </r>
  <r>
    <s v="TX501511"/>
    <x v="13"/>
    <x v="3"/>
    <n v="43.8"/>
    <x v="1226"/>
    <x v="55"/>
    <d v="2025-02-27T00:00:00"/>
    <s v="M"/>
    <x v="1"/>
    <x v="0"/>
    <x v="0"/>
    <x v="3"/>
    <x v="1"/>
    <x v="8"/>
    <x v="1"/>
  </r>
  <r>
    <s v="TX501512"/>
    <x v="17"/>
    <x v="13"/>
    <n v="71.900000000000006"/>
    <x v="1227"/>
    <x v="55"/>
    <d v="2025-02-26T00:00:00"/>
    <s v="F"/>
    <x v="2"/>
    <x v="0"/>
    <x v="0"/>
    <x v="3"/>
    <x v="3"/>
    <x v="8"/>
    <x v="2"/>
  </r>
  <r>
    <s v="TX501513"/>
    <x v="8"/>
    <x v="1"/>
    <n v="26.3"/>
    <x v="1228"/>
    <x v="56"/>
    <d v="2025-02-28T00:00:00"/>
    <s v="F"/>
    <x v="0"/>
    <x v="1"/>
    <x v="0"/>
    <x v="3"/>
    <x v="1"/>
    <x v="8"/>
    <x v="2"/>
  </r>
  <r>
    <s v="TX501514"/>
    <x v="6"/>
    <x v="12"/>
    <n v="52.6"/>
    <x v="138"/>
    <x v="56"/>
    <d v="2025-02-28T00:00:00"/>
    <s v="F"/>
    <x v="2"/>
    <x v="1"/>
    <x v="0"/>
    <x v="3"/>
    <x v="1"/>
    <x v="8"/>
    <x v="2"/>
  </r>
  <r>
    <s v="TX501515"/>
    <x v="10"/>
    <x v="0"/>
    <n v="32.700000000000003"/>
    <x v="1229"/>
    <x v="56"/>
    <d v="2025-03-05T00:00:00"/>
    <s v="F"/>
    <x v="0"/>
    <x v="2"/>
    <x v="0"/>
    <x v="3"/>
    <x v="6"/>
    <x v="8"/>
    <x v="2"/>
  </r>
  <r>
    <s v="TX501516"/>
    <x v="5"/>
    <x v="12"/>
    <n v="38.9"/>
    <x v="1230"/>
    <x v="56"/>
    <d v="2025-02-27T00:00:00"/>
    <s v="F"/>
    <x v="0"/>
    <x v="0"/>
    <x v="0"/>
    <x v="3"/>
    <x v="3"/>
    <x v="8"/>
    <x v="2"/>
  </r>
  <r>
    <s v="TX501517"/>
    <x v="9"/>
    <x v="9"/>
    <n v="35"/>
    <x v="25"/>
    <x v="56"/>
    <d v="2025-02-28T00:00:00"/>
    <s v="M"/>
    <x v="0"/>
    <x v="0"/>
    <x v="0"/>
    <x v="3"/>
    <x v="1"/>
    <x v="8"/>
    <x v="1"/>
  </r>
  <r>
    <s v="TX501518"/>
    <x v="2"/>
    <x v="1"/>
    <n v="121"/>
    <x v="1231"/>
    <x v="56"/>
    <d v="2025-02-27T00:00:00"/>
    <s v="F"/>
    <x v="1"/>
    <x v="1"/>
    <x v="0"/>
    <x v="3"/>
    <x v="3"/>
    <x v="8"/>
    <x v="2"/>
  </r>
  <r>
    <s v="TX501519"/>
    <x v="6"/>
    <x v="2"/>
    <n v="65.099999999999994"/>
    <x v="1174"/>
    <x v="56"/>
    <d v="2025-03-02T00:00:00"/>
    <s v="M"/>
    <x v="2"/>
    <x v="0"/>
    <x v="0"/>
    <x v="36"/>
    <x v="5"/>
    <x v="8"/>
    <x v="1"/>
  </r>
  <r>
    <s v="TX501520"/>
    <x v="1"/>
    <x v="38"/>
    <n v="63.8"/>
    <x v="1232"/>
    <x v="56"/>
    <d v="2025-02-28T00:00:00"/>
    <s v="F"/>
    <x v="0"/>
    <x v="0"/>
    <x v="0"/>
    <x v="8"/>
    <x v="1"/>
    <x v="8"/>
    <x v="2"/>
  </r>
  <r>
    <s v="TX501521"/>
    <x v="7"/>
    <x v="0"/>
    <n v="77.7"/>
    <x v="1233"/>
    <x v="56"/>
    <d v="2025-02-28T00:00:00"/>
    <s v="M"/>
    <x v="0"/>
    <x v="0"/>
    <x v="0"/>
    <x v="8"/>
    <x v="1"/>
    <x v="8"/>
    <x v="1"/>
  </r>
  <r>
    <s v="TX501522"/>
    <x v="5"/>
    <x v="12"/>
    <n v="60.3"/>
    <x v="1234"/>
    <x v="56"/>
    <d v="2025-02-26T00:00:00"/>
    <s v="M"/>
    <x v="0"/>
    <x v="2"/>
    <x v="0"/>
    <x v="8"/>
    <x v="7"/>
    <x v="8"/>
    <x v="1"/>
  </r>
  <r>
    <s v="TX501523"/>
    <x v="5"/>
    <x v="1"/>
    <n v="124.1"/>
    <x v="1235"/>
    <x v="56"/>
    <d v="2025-03-01T00:00:00"/>
    <s v="F"/>
    <x v="0"/>
    <x v="2"/>
    <x v="0"/>
    <x v="8"/>
    <x v="2"/>
    <x v="8"/>
    <x v="2"/>
  </r>
  <r>
    <s v="TX501524"/>
    <x v="16"/>
    <x v="3"/>
    <n v="66"/>
    <x v="1236"/>
    <x v="56"/>
    <d v="2025-02-26T00:00:00"/>
    <s v=""/>
    <x v="3"/>
    <x v="0"/>
    <x v="0"/>
    <x v="17"/>
    <x v="7"/>
    <x v="8"/>
    <x v="0"/>
  </r>
  <r>
    <s v="TX501525"/>
    <x v="2"/>
    <x v="42"/>
    <n v="118.2"/>
    <x v="1237"/>
    <x v="56"/>
    <d v="2025-03-03T00:00:00"/>
    <s v=""/>
    <x v="0"/>
    <x v="0"/>
    <x v="0"/>
    <x v="17"/>
    <x v="0"/>
    <x v="8"/>
    <x v="0"/>
  </r>
  <r>
    <s v="TX501526"/>
    <x v="5"/>
    <x v="9"/>
    <n v="64.3"/>
    <x v="1238"/>
    <x v="56"/>
    <d v="2025-02-27T00:00:00"/>
    <s v="M"/>
    <x v="4"/>
    <x v="4"/>
    <x v="0"/>
    <x v="26"/>
    <x v="3"/>
    <x v="8"/>
    <x v="1"/>
  </r>
  <r>
    <s v="TX501527"/>
    <x v="1"/>
    <x v="1"/>
    <n v="54.8"/>
    <x v="1239"/>
    <x v="56"/>
    <d v="2025-02-26T00:00:00"/>
    <s v="M"/>
    <x v="0"/>
    <x v="1"/>
    <x v="0"/>
    <x v="26"/>
    <x v="7"/>
    <x v="8"/>
    <x v="1"/>
  </r>
  <r>
    <s v="TX501528"/>
    <x v="7"/>
    <x v="1"/>
    <n v="78.599999999999994"/>
    <x v="507"/>
    <x v="56"/>
    <d v="2025-02-27T00:00:00"/>
    <s v="M"/>
    <x v="0"/>
    <x v="2"/>
    <x v="0"/>
    <x v="9"/>
    <x v="3"/>
    <x v="8"/>
    <x v="1"/>
  </r>
  <r>
    <s v="TX501529"/>
    <x v="2"/>
    <x v="9"/>
    <n v="158.5"/>
    <x v="1240"/>
    <x v="56"/>
    <d v="2025-02-28T00:00:00"/>
    <s v=""/>
    <x v="2"/>
    <x v="2"/>
    <x v="0"/>
    <x v="9"/>
    <x v="1"/>
    <x v="8"/>
    <x v="0"/>
  </r>
  <r>
    <s v="TX501530"/>
    <x v="4"/>
    <x v="7"/>
    <n v="23.5"/>
    <x v="666"/>
    <x v="56"/>
    <d v="2025-03-01T00:00:00"/>
    <s v="M"/>
    <x v="0"/>
    <x v="4"/>
    <x v="0"/>
    <x v="10"/>
    <x v="2"/>
    <x v="8"/>
    <x v="1"/>
  </r>
  <r>
    <s v="TX501531"/>
    <x v="5"/>
    <x v="1"/>
    <n v="32.1"/>
    <x v="1005"/>
    <x v="56"/>
    <d v="2025-02-28T00:00:00"/>
    <s v=""/>
    <x v="3"/>
    <x v="0"/>
    <x v="0"/>
    <x v="10"/>
    <x v="1"/>
    <x v="8"/>
    <x v="0"/>
  </r>
  <r>
    <s v="TX501532"/>
    <x v="17"/>
    <x v="12"/>
    <n v="71.900000000000006"/>
    <x v="1241"/>
    <x v="56"/>
    <d v="2025-02-26T00:00:00"/>
    <s v="M"/>
    <x v="2"/>
    <x v="0"/>
    <x v="0"/>
    <x v="19"/>
    <x v="7"/>
    <x v="8"/>
    <x v="1"/>
  </r>
  <r>
    <s v="TX501533"/>
    <x v="4"/>
    <x v="13"/>
    <n v="22.3"/>
    <x v="981"/>
    <x v="56"/>
    <d v="2025-02-27T00:00:00"/>
    <s v=""/>
    <x v="3"/>
    <x v="2"/>
    <x v="0"/>
    <x v="13"/>
    <x v="3"/>
    <x v="8"/>
    <x v="0"/>
  </r>
  <r>
    <s v="TX501534"/>
    <x v="11"/>
    <x v="1"/>
    <n v="29.5"/>
    <x v="1242"/>
    <x v="56"/>
    <d v="2025-02-27T00:00:00"/>
    <s v="F"/>
    <x v="0"/>
    <x v="2"/>
    <x v="0"/>
    <x v="13"/>
    <x v="3"/>
    <x v="8"/>
    <x v="2"/>
  </r>
  <r>
    <s v="TX501535"/>
    <x v="6"/>
    <x v="12"/>
    <n v="41.9"/>
    <x v="1243"/>
    <x v="56"/>
    <d v="2025-03-02T00:00:00"/>
    <s v="F"/>
    <x v="0"/>
    <x v="1"/>
    <x v="0"/>
    <x v="21"/>
    <x v="5"/>
    <x v="8"/>
    <x v="2"/>
  </r>
  <r>
    <s v="TX501536"/>
    <x v="6"/>
    <x v="2"/>
    <n v="107.8"/>
    <x v="1244"/>
    <x v="56"/>
    <d v="2025-02-27T00:00:00"/>
    <s v="M"/>
    <x v="1"/>
    <x v="2"/>
    <x v="0"/>
    <x v="46"/>
    <x v="3"/>
    <x v="8"/>
    <x v="1"/>
  </r>
  <r>
    <s v="TX501537"/>
    <x v="4"/>
    <x v="9"/>
    <n v="18.100000000000001"/>
    <x v="497"/>
    <x v="56"/>
    <d v="2025-03-01T00:00:00"/>
    <s v="M"/>
    <x v="0"/>
    <x v="2"/>
    <x v="0"/>
    <x v="2"/>
    <x v="2"/>
    <x v="8"/>
    <x v="1"/>
  </r>
  <r>
    <s v="TX501538"/>
    <x v="12"/>
    <x v="11"/>
    <n v="79.8"/>
    <x v="1245"/>
    <x v="56"/>
    <d v="2025-02-27T00:00:00"/>
    <s v="F"/>
    <x v="1"/>
    <x v="1"/>
    <x v="0"/>
    <x v="22"/>
    <x v="3"/>
    <x v="8"/>
    <x v="2"/>
  </r>
  <r>
    <s v="TX501539"/>
    <x v="0"/>
    <x v="2"/>
    <n v="22.3"/>
    <x v="884"/>
    <x v="56"/>
    <d v="2025-03-01T00:00:00"/>
    <s v="F"/>
    <x v="0"/>
    <x v="2"/>
    <x v="0"/>
    <x v="22"/>
    <x v="2"/>
    <x v="8"/>
    <x v="2"/>
  </r>
  <r>
    <s v="TX501540"/>
    <x v="8"/>
    <x v="0"/>
    <n v="22.9"/>
    <x v="1246"/>
    <x v="56"/>
    <d v="2025-02-26T00:00:00"/>
    <s v="F"/>
    <x v="1"/>
    <x v="0"/>
    <x v="0"/>
    <x v="22"/>
    <x v="7"/>
    <x v="8"/>
    <x v="2"/>
  </r>
  <r>
    <s v="TX501541"/>
    <x v="0"/>
    <x v="2"/>
    <n v="16.2"/>
    <x v="1247"/>
    <x v="57"/>
    <d v="2025-02-27T00:00:00"/>
    <s v="M"/>
    <x v="4"/>
    <x v="2"/>
    <x v="0"/>
    <x v="3"/>
    <x v="7"/>
    <x v="8"/>
    <x v="1"/>
  </r>
  <r>
    <s v="TX501542"/>
    <x v="10"/>
    <x v="12"/>
    <n v="59.5"/>
    <x v="1248"/>
    <x v="57"/>
    <d v="2025-02-28T00:00:00"/>
    <s v="M"/>
    <x v="1"/>
    <x v="2"/>
    <x v="0"/>
    <x v="3"/>
    <x v="3"/>
    <x v="8"/>
    <x v="1"/>
  </r>
  <r>
    <s v="TX501543"/>
    <x v="18"/>
    <x v="9"/>
    <n v="26.2"/>
    <x v="1249"/>
    <x v="57"/>
    <d v="2025-03-02T00:00:00"/>
    <s v="M"/>
    <x v="3"/>
    <x v="4"/>
    <x v="0"/>
    <x v="3"/>
    <x v="2"/>
    <x v="8"/>
    <x v="1"/>
  </r>
  <r>
    <s v="TX501544"/>
    <x v="3"/>
    <x v="0"/>
    <n v="44.2"/>
    <x v="573"/>
    <x v="57"/>
    <d v="2025-03-02T00:00:00"/>
    <s v="F"/>
    <x v="1"/>
    <x v="0"/>
    <x v="0"/>
    <x v="3"/>
    <x v="2"/>
    <x v="8"/>
    <x v="2"/>
  </r>
  <r>
    <s v="TX501545"/>
    <x v="9"/>
    <x v="1"/>
    <n v="59.2"/>
    <x v="1250"/>
    <x v="57"/>
    <d v="2025-02-27T00:00:00"/>
    <s v="F"/>
    <x v="1"/>
    <x v="4"/>
    <x v="0"/>
    <x v="3"/>
    <x v="7"/>
    <x v="8"/>
    <x v="2"/>
  </r>
  <r>
    <s v="TX501546"/>
    <x v="15"/>
    <x v="12"/>
    <n v="41.5"/>
    <x v="1251"/>
    <x v="57"/>
    <d v="2025-03-01T00:00:00"/>
    <s v="F"/>
    <x v="0"/>
    <x v="0"/>
    <x v="0"/>
    <x v="16"/>
    <x v="1"/>
    <x v="8"/>
    <x v="2"/>
  </r>
  <r>
    <s v="TX501547"/>
    <x v="6"/>
    <x v="4"/>
    <n v="67.099999999999994"/>
    <x v="1252"/>
    <x v="57"/>
    <d v="2025-03-13T00:00:00"/>
    <s v="F"/>
    <x v="0"/>
    <x v="2"/>
    <x v="0"/>
    <x v="23"/>
    <x v="12"/>
    <x v="8"/>
    <x v="2"/>
  </r>
  <r>
    <s v="TX501548"/>
    <x v="8"/>
    <x v="1"/>
    <n v="28.7"/>
    <x v="1253"/>
    <x v="57"/>
    <d v="2025-03-03T00:00:00"/>
    <s v="F"/>
    <x v="1"/>
    <x v="0"/>
    <x v="0"/>
    <x v="6"/>
    <x v="5"/>
    <x v="8"/>
    <x v="2"/>
  </r>
  <r>
    <s v="TX501549"/>
    <x v="2"/>
    <x v="12"/>
    <n v="132.1"/>
    <x v="1254"/>
    <x v="57"/>
    <d v="2025-02-28T00:00:00"/>
    <s v="F"/>
    <x v="0"/>
    <x v="1"/>
    <x v="0"/>
    <x v="6"/>
    <x v="3"/>
    <x v="8"/>
    <x v="2"/>
  </r>
  <r>
    <s v="TX501550"/>
    <x v="18"/>
    <x v="1"/>
    <n v="47"/>
    <x v="255"/>
    <x v="57"/>
    <d v="2025-03-01T00:00:00"/>
    <s v="M"/>
    <x v="4"/>
    <x v="0"/>
    <x v="0"/>
    <x v="8"/>
    <x v="1"/>
    <x v="8"/>
    <x v="1"/>
  </r>
  <r>
    <s v="TX501551"/>
    <x v="8"/>
    <x v="1"/>
    <n v="41.6"/>
    <x v="707"/>
    <x v="57"/>
    <d v="2025-03-03T00:00:00"/>
    <s v="M"/>
    <x v="1"/>
    <x v="2"/>
    <x v="0"/>
    <x v="8"/>
    <x v="5"/>
    <x v="8"/>
    <x v="1"/>
  </r>
  <r>
    <s v="TX501552"/>
    <x v="8"/>
    <x v="43"/>
    <n v="17.3"/>
    <x v="1255"/>
    <x v="57"/>
    <d v="2025-03-01T00:00:00"/>
    <s v="M"/>
    <x v="2"/>
    <x v="2"/>
    <x v="0"/>
    <x v="8"/>
    <x v="1"/>
    <x v="8"/>
    <x v="1"/>
  </r>
  <r>
    <s v="TX501553"/>
    <x v="13"/>
    <x v="2"/>
    <n v="41.8"/>
    <x v="352"/>
    <x v="57"/>
    <d v="2025-03-02T00:00:00"/>
    <s v="M"/>
    <x v="0"/>
    <x v="2"/>
    <x v="0"/>
    <x v="8"/>
    <x v="2"/>
    <x v="8"/>
    <x v="1"/>
  </r>
  <r>
    <s v="TX501554"/>
    <x v="10"/>
    <x v="0"/>
    <n v="24"/>
    <x v="835"/>
    <x v="57"/>
    <d v="2025-02-28T00:00:00"/>
    <s v="F"/>
    <x v="0"/>
    <x v="0"/>
    <x v="0"/>
    <x v="17"/>
    <x v="3"/>
    <x v="8"/>
    <x v="2"/>
  </r>
  <r>
    <s v="TX501555"/>
    <x v="14"/>
    <x v="11"/>
    <n v="18.5"/>
    <x v="1256"/>
    <x v="57"/>
    <d v="2025-03-01T00:00:00"/>
    <s v="F"/>
    <x v="0"/>
    <x v="0"/>
    <x v="0"/>
    <x v="9"/>
    <x v="1"/>
    <x v="8"/>
    <x v="2"/>
  </r>
  <r>
    <s v="TX501556"/>
    <x v="3"/>
    <x v="4"/>
    <n v="66.7"/>
    <x v="1257"/>
    <x v="57"/>
    <d v="2025-03-02T00:00:00"/>
    <s v=""/>
    <x v="0"/>
    <x v="2"/>
    <x v="0"/>
    <x v="11"/>
    <x v="2"/>
    <x v="8"/>
    <x v="0"/>
  </r>
  <r>
    <s v="TX501557"/>
    <x v="1"/>
    <x v="12"/>
    <n v="33.1"/>
    <x v="979"/>
    <x v="57"/>
    <d v="2025-03-04T00:00:00"/>
    <s v="M"/>
    <x v="3"/>
    <x v="0"/>
    <x v="0"/>
    <x v="11"/>
    <x v="0"/>
    <x v="8"/>
    <x v="1"/>
  </r>
  <r>
    <s v="TX501558"/>
    <x v="19"/>
    <x v="11"/>
    <n v="42.1"/>
    <x v="1258"/>
    <x v="57"/>
    <d v="2025-03-10T00:00:00"/>
    <s v="M"/>
    <x v="1"/>
    <x v="0"/>
    <x v="0"/>
    <x v="18"/>
    <x v="11"/>
    <x v="8"/>
    <x v="1"/>
  </r>
  <r>
    <s v="TX501559"/>
    <x v="18"/>
    <x v="3"/>
    <n v="58.7"/>
    <x v="1259"/>
    <x v="57"/>
    <d v="2025-02-27T00:00:00"/>
    <s v="O"/>
    <x v="3"/>
    <x v="0"/>
    <x v="0"/>
    <x v="31"/>
    <x v="7"/>
    <x v="8"/>
    <x v="3"/>
  </r>
  <r>
    <s v="TX501560"/>
    <x v="6"/>
    <x v="12"/>
    <n v="54"/>
    <x v="760"/>
    <x v="57"/>
    <d v="2025-03-01T00:00:00"/>
    <s v="F"/>
    <x v="1"/>
    <x v="0"/>
    <x v="0"/>
    <x v="1"/>
    <x v="1"/>
    <x v="8"/>
    <x v="2"/>
  </r>
  <r>
    <s v="TX501561"/>
    <x v="8"/>
    <x v="0"/>
    <n v="52.1"/>
    <x v="475"/>
    <x v="57"/>
    <d v="2025-02-28T00:00:00"/>
    <s v="F"/>
    <x v="2"/>
    <x v="2"/>
    <x v="0"/>
    <x v="2"/>
    <x v="3"/>
    <x v="8"/>
    <x v="2"/>
  </r>
  <r>
    <s v="TX501562"/>
    <x v="19"/>
    <x v="1"/>
    <n v="27"/>
    <x v="1260"/>
    <x v="57"/>
    <d v="2025-03-02T00:00:00"/>
    <s v="O"/>
    <x v="2"/>
    <x v="0"/>
    <x v="0"/>
    <x v="22"/>
    <x v="2"/>
    <x v="8"/>
    <x v="3"/>
  </r>
  <r>
    <s v="TX501563"/>
    <x v="12"/>
    <x v="7"/>
    <n v="31"/>
    <x v="892"/>
    <x v="58"/>
    <d v="2025-03-01T00:00:00"/>
    <s v="F"/>
    <x v="3"/>
    <x v="2"/>
    <x v="0"/>
    <x v="22"/>
    <x v="3"/>
    <x v="8"/>
    <x v="2"/>
  </r>
  <r>
    <s v="TX501564"/>
    <x v="10"/>
    <x v="1"/>
    <n v="46.7"/>
    <x v="1261"/>
    <x v="58"/>
    <d v="2025-02-28T00:00:00"/>
    <s v="F"/>
    <x v="0"/>
    <x v="0"/>
    <x v="0"/>
    <x v="34"/>
    <x v="7"/>
    <x v="8"/>
    <x v="2"/>
  </r>
  <r>
    <s v="TX501565"/>
    <x v="6"/>
    <x v="0"/>
    <n v="144.69999999999999"/>
    <x v="1262"/>
    <x v="58"/>
    <d v="2025-03-03T00:00:00"/>
    <s v="M"/>
    <x v="0"/>
    <x v="2"/>
    <x v="0"/>
    <x v="3"/>
    <x v="2"/>
    <x v="8"/>
    <x v="1"/>
  </r>
  <r>
    <s v="TX501566"/>
    <x v="2"/>
    <x v="11"/>
    <n v="90.9"/>
    <x v="1263"/>
    <x v="58"/>
    <d v="2025-03-01T00:00:00"/>
    <s v="M"/>
    <x v="0"/>
    <x v="2"/>
    <x v="0"/>
    <x v="3"/>
    <x v="3"/>
    <x v="8"/>
    <x v="1"/>
  </r>
  <r>
    <s v="TX501567"/>
    <x v="1"/>
    <x v="1"/>
    <n v="75.8"/>
    <x v="318"/>
    <x v="58"/>
    <d v="2025-03-01T00:00:00"/>
    <s v="F"/>
    <x v="2"/>
    <x v="1"/>
    <x v="0"/>
    <x v="3"/>
    <x v="3"/>
    <x v="8"/>
    <x v="2"/>
  </r>
  <r>
    <s v="TX501568"/>
    <x v="7"/>
    <x v="9"/>
    <n v="57.9"/>
    <x v="1264"/>
    <x v="58"/>
    <d v="2025-03-02T00:00:00"/>
    <s v="M"/>
    <x v="2"/>
    <x v="2"/>
    <x v="0"/>
    <x v="3"/>
    <x v="1"/>
    <x v="8"/>
    <x v="1"/>
  </r>
  <r>
    <s v="TX501569"/>
    <x v="8"/>
    <x v="9"/>
    <n v="44.8"/>
    <x v="692"/>
    <x v="58"/>
    <d v="2025-03-01T00:00:00"/>
    <s v="F"/>
    <x v="3"/>
    <x v="2"/>
    <x v="0"/>
    <x v="3"/>
    <x v="3"/>
    <x v="8"/>
    <x v="2"/>
  </r>
  <r>
    <s v="TX501570"/>
    <x v="9"/>
    <x v="2"/>
    <n v="44.2"/>
    <x v="1265"/>
    <x v="58"/>
    <d v="2025-03-04T00:00:00"/>
    <s v="M"/>
    <x v="2"/>
    <x v="2"/>
    <x v="0"/>
    <x v="3"/>
    <x v="5"/>
    <x v="8"/>
    <x v="1"/>
  </r>
  <r>
    <s v="TX501571"/>
    <x v="5"/>
    <x v="9"/>
    <n v="53.5"/>
    <x v="1266"/>
    <x v="58"/>
    <d v="2025-03-02T00:00:00"/>
    <s v="M"/>
    <x v="0"/>
    <x v="0"/>
    <x v="0"/>
    <x v="37"/>
    <x v="1"/>
    <x v="8"/>
    <x v="1"/>
  </r>
  <r>
    <s v="TX501572"/>
    <x v="6"/>
    <x v="1"/>
    <n v="72.2"/>
    <x v="613"/>
    <x v="58"/>
    <d v="2025-03-01T00:00:00"/>
    <s v="M"/>
    <x v="0"/>
    <x v="2"/>
    <x v="0"/>
    <x v="25"/>
    <x v="3"/>
    <x v="8"/>
    <x v="1"/>
  </r>
  <r>
    <s v="TX501573"/>
    <x v="6"/>
    <x v="12"/>
    <n v="62.4"/>
    <x v="1267"/>
    <x v="58"/>
    <d v="2025-03-03T00:00:00"/>
    <s v="F"/>
    <x v="0"/>
    <x v="1"/>
    <x v="0"/>
    <x v="23"/>
    <x v="2"/>
    <x v="8"/>
    <x v="2"/>
  </r>
  <r>
    <s v="TX501574"/>
    <x v="10"/>
    <x v="9"/>
    <n v="24.7"/>
    <x v="1268"/>
    <x v="58"/>
    <d v="2025-03-01T00:00:00"/>
    <s v="F"/>
    <x v="0"/>
    <x v="0"/>
    <x v="0"/>
    <x v="6"/>
    <x v="3"/>
    <x v="8"/>
    <x v="2"/>
  </r>
  <r>
    <s v="TX501575"/>
    <x v="1"/>
    <x v="9"/>
    <n v="61.7"/>
    <x v="1269"/>
    <x v="58"/>
    <d v="2025-03-02T00:00:00"/>
    <s v="F"/>
    <x v="2"/>
    <x v="0"/>
    <x v="0"/>
    <x v="8"/>
    <x v="1"/>
    <x v="8"/>
    <x v="2"/>
  </r>
  <r>
    <s v="TX501576"/>
    <x v="8"/>
    <x v="9"/>
    <n v="18.2"/>
    <x v="1270"/>
    <x v="58"/>
    <d v="2025-03-02T00:00:00"/>
    <s v="F"/>
    <x v="3"/>
    <x v="0"/>
    <x v="0"/>
    <x v="8"/>
    <x v="1"/>
    <x v="8"/>
    <x v="2"/>
  </r>
  <r>
    <s v="TX501577"/>
    <x v="10"/>
    <x v="12"/>
    <n v="37.200000000000003"/>
    <x v="956"/>
    <x v="58"/>
    <d v="2025-03-06T00:00:00"/>
    <s v="F"/>
    <x v="0"/>
    <x v="0"/>
    <x v="0"/>
    <x v="8"/>
    <x v="4"/>
    <x v="8"/>
    <x v="2"/>
  </r>
  <r>
    <s v="TX501578"/>
    <x v="9"/>
    <x v="2"/>
    <n v="53.5"/>
    <x v="1271"/>
    <x v="58"/>
    <d v="2025-03-02T00:00:00"/>
    <s v="F"/>
    <x v="1"/>
    <x v="2"/>
    <x v="0"/>
    <x v="9"/>
    <x v="1"/>
    <x v="8"/>
    <x v="2"/>
  </r>
  <r>
    <s v="TX501579"/>
    <x v="8"/>
    <x v="2"/>
    <n v="43.6"/>
    <x v="1272"/>
    <x v="58"/>
    <d v="2025-02-28T00:00:00"/>
    <s v="F"/>
    <x v="0"/>
    <x v="0"/>
    <x v="0"/>
    <x v="9"/>
    <x v="7"/>
    <x v="8"/>
    <x v="2"/>
  </r>
  <r>
    <s v="TX501580"/>
    <x v="1"/>
    <x v="7"/>
    <n v="135"/>
    <x v="1273"/>
    <x v="58"/>
    <d v="2025-03-02T00:00:00"/>
    <s v="F"/>
    <x v="0"/>
    <x v="2"/>
    <x v="0"/>
    <x v="9"/>
    <x v="1"/>
    <x v="8"/>
    <x v="2"/>
  </r>
  <r>
    <s v="TX501581"/>
    <x v="8"/>
    <x v="9"/>
    <n v="38.5"/>
    <x v="796"/>
    <x v="58"/>
    <d v="2025-02-28T00:00:00"/>
    <s v="M"/>
    <x v="4"/>
    <x v="2"/>
    <x v="0"/>
    <x v="10"/>
    <x v="7"/>
    <x v="8"/>
    <x v="1"/>
  </r>
  <r>
    <s v="TX501582"/>
    <x v="9"/>
    <x v="1"/>
    <n v="24"/>
    <x v="510"/>
    <x v="58"/>
    <d v="2025-03-05T00:00:00"/>
    <s v="F"/>
    <x v="0"/>
    <x v="0"/>
    <x v="0"/>
    <x v="11"/>
    <x v="0"/>
    <x v="8"/>
    <x v="2"/>
  </r>
  <r>
    <s v="TX501583"/>
    <x v="4"/>
    <x v="2"/>
    <n v="28.2"/>
    <x v="1274"/>
    <x v="58"/>
    <d v="2025-03-02T00:00:00"/>
    <s v="M"/>
    <x v="0"/>
    <x v="3"/>
    <x v="0"/>
    <x v="18"/>
    <x v="1"/>
    <x v="8"/>
    <x v="1"/>
  </r>
  <r>
    <s v="TX501584"/>
    <x v="7"/>
    <x v="2"/>
    <n v="37.4"/>
    <x v="794"/>
    <x v="58"/>
    <d v="2025-03-01T00:00:00"/>
    <s v="F"/>
    <x v="3"/>
    <x v="0"/>
    <x v="0"/>
    <x v="1"/>
    <x v="3"/>
    <x v="8"/>
    <x v="2"/>
  </r>
  <r>
    <s v="TX501585"/>
    <x v="6"/>
    <x v="2"/>
    <n v="53.5"/>
    <x v="1271"/>
    <x v="58"/>
    <d v="2025-03-03T00:00:00"/>
    <s v=""/>
    <x v="4"/>
    <x v="4"/>
    <x v="0"/>
    <x v="1"/>
    <x v="2"/>
    <x v="8"/>
    <x v="0"/>
  </r>
  <r>
    <s v="TX501586"/>
    <x v="11"/>
    <x v="9"/>
    <n v="36.200000000000003"/>
    <x v="1275"/>
    <x v="58"/>
    <d v="2025-03-01T00:00:00"/>
    <s v="M"/>
    <x v="1"/>
    <x v="2"/>
    <x v="0"/>
    <x v="33"/>
    <x v="3"/>
    <x v="8"/>
    <x v="1"/>
  </r>
  <r>
    <s v="TX501587"/>
    <x v="0"/>
    <x v="8"/>
    <n v="31.9"/>
    <x v="281"/>
    <x v="58"/>
    <d v="2025-03-01T00:00:00"/>
    <s v="F"/>
    <x v="4"/>
    <x v="0"/>
    <x v="0"/>
    <x v="3"/>
    <x v="3"/>
    <x v="8"/>
    <x v="2"/>
  </r>
  <r>
    <s v="TX501588"/>
    <x v="8"/>
    <x v="2"/>
    <n v="21.3"/>
    <x v="1276"/>
    <x v="58"/>
    <d v="2025-03-01T00:00:00"/>
    <s v="M"/>
    <x v="0"/>
    <x v="2"/>
    <x v="0"/>
    <x v="3"/>
    <x v="3"/>
    <x v="8"/>
    <x v="1"/>
  </r>
  <r>
    <s v="TX501589"/>
    <x v="8"/>
    <x v="0"/>
    <n v="36.299999999999997"/>
    <x v="1277"/>
    <x v="58"/>
    <d v="2025-03-02T00:00:00"/>
    <s v="O"/>
    <x v="4"/>
    <x v="0"/>
    <x v="0"/>
    <x v="3"/>
    <x v="1"/>
    <x v="8"/>
    <x v="3"/>
  </r>
  <r>
    <s v="TX501590"/>
    <x v="6"/>
    <x v="2"/>
    <n v="110.5"/>
    <x v="1278"/>
    <x v="58"/>
    <d v="2025-03-01T00:00:00"/>
    <s v="F"/>
    <x v="0"/>
    <x v="3"/>
    <x v="0"/>
    <x v="3"/>
    <x v="3"/>
    <x v="8"/>
    <x v="2"/>
  </r>
  <r>
    <s v="TX501591"/>
    <x v="10"/>
    <x v="3"/>
    <n v="32.6"/>
    <x v="1279"/>
    <x v="58"/>
    <d v="2025-03-02T00:00:00"/>
    <s v="F"/>
    <x v="0"/>
    <x v="1"/>
    <x v="0"/>
    <x v="3"/>
    <x v="1"/>
    <x v="8"/>
    <x v="2"/>
  </r>
  <r>
    <s v="TX501592"/>
    <x v="5"/>
    <x v="2"/>
    <n v="55.6"/>
    <x v="701"/>
    <x v="59"/>
    <d v="2025-03-14T00:00:00"/>
    <s v="F"/>
    <x v="0"/>
    <x v="0"/>
    <x v="0"/>
    <x v="3"/>
    <x v="10"/>
    <x v="8"/>
    <x v="2"/>
  </r>
  <r>
    <s v="TX501593"/>
    <x v="1"/>
    <x v="12"/>
    <n v="38"/>
    <x v="465"/>
    <x v="59"/>
    <d v="2025-03-02T00:00:00"/>
    <s v="F"/>
    <x v="3"/>
    <x v="2"/>
    <x v="0"/>
    <x v="5"/>
    <x v="3"/>
    <x v="8"/>
    <x v="2"/>
  </r>
  <r>
    <s v="TX501594"/>
    <x v="10"/>
    <x v="1"/>
    <n v="51.8"/>
    <x v="186"/>
    <x v="59"/>
    <d v="2025-03-07T00:00:00"/>
    <s v="M"/>
    <x v="1"/>
    <x v="4"/>
    <x v="0"/>
    <x v="6"/>
    <x v="4"/>
    <x v="8"/>
    <x v="1"/>
  </r>
  <r>
    <s v="TX501595"/>
    <x v="11"/>
    <x v="8"/>
    <n v="28.7"/>
    <x v="1166"/>
    <x v="59"/>
    <d v="2025-03-06T00:00:00"/>
    <s v="F"/>
    <x v="0"/>
    <x v="0"/>
    <x v="0"/>
    <x v="6"/>
    <x v="0"/>
    <x v="8"/>
    <x v="2"/>
  </r>
  <r>
    <s v="TX501596"/>
    <x v="6"/>
    <x v="4"/>
    <n v="52.2"/>
    <x v="1280"/>
    <x v="59"/>
    <d v="2025-03-01T00:00:00"/>
    <s v="M"/>
    <x v="0"/>
    <x v="1"/>
    <x v="0"/>
    <x v="6"/>
    <x v="7"/>
    <x v="8"/>
    <x v="1"/>
  </r>
  <r>
    <s v="TX501597"/>
    <x v="1"/>
    <x v="1"/>
    <n v="68.2"/>
    <x v="517"/>
    <x v="59"/>
    <d v="2025-03-02T00:00:00"/>
    <s v=""/>
    <x v="2"/>
    <x v="0"/>
    <x v="0"/>
    <x v="7"/>
    <x v="3"/>
    <x v="8"/>
    <x v="0"/>
  </r>
  <r>
    <s v="TX501598"/>
    <x v="0"/>
    <x v="2"/>
    <n v="34"/>
    <x v="1062"/>
    <x v="59"/>
    <d v="2025-03-05T00:00:00"/>
    <s v="F"/>
    <x v="0"/>
    <x v="0"/>
    <x v="0"/>
    <x v="8"/>
    <x v="5"/>
    <x v="8"/>
    <x v="2"/>
  </r>
  <r>
    <s v="TX501599"/>
    <x v="8"/>
    <x v="2"/>
    <n v="19.100000000000001"/>
    <x v="1281"/>
    <x v="59"/>
    <d v="2025-03-02T00:00:00"/>
    <s v="F"/>
    <x v="4"/>
    <x v="0"/>
    <x v="0"/>
    <x v="8"/>
    <x v="3"/>
    <x v="8"/>
    <x v="2"/>
  </r>
  <r>
    <s v="TX501600"/>
    <x v="5"/>
    <x v="8"/>
    <n v="34"/>
    <x v="1123"/>
    <x v="59"/>
    <d v="2025-03-09T00:00:00"/>
    <s v="F"/>
    <x v="4"/>
    <x v="0"/>
    <x v="0"/>
    <x v="8"/>
    <x v="9"/>
    <x v="8"/>
    <x v="2"/>
  </r>
  <r>
    <s v="TX501601"/>
    <x v="12"/>
    <x v="1"/>
    <n v="109.1"/>
    <x v="1282"/>
    <x v="59"/>
    <d v="2025-03-03T00:00:00"/>
    <s v="M"/>
    <x v="0"/>
    <x v="2"/>
    <x v="0"/>
    <x v="8"/>
    <x v="1"/>
    <x v="8"/>
    <x v="1"/>
  </r>
  <r>
    <s v="TX501602"/>
    <x v="18"/>
    <x v="1"/>
    <n v="64.8"/>
    <x v="632"/>
    <x v="59"/>
    <d v="2025-03-03T00:00:00"/>
    <s v="M"/>
    <x v="0"/>
    <x v="2"/>
    <x v="0"/>
    <x v="8"/>
    <x v="1"/>
    <x v="8"/>
    <x v="1"/>
  </r>
  <r>
    <s v="TX501603"/>
    <x v="10"/>
    <x v="1"/>
    <n v="21.1"/>
    <x v="1283"/>
    <x v="59"/>
    <d v="2025-03-01T00:00:00"/>
    <s v="F"/>
    <x v="1"/>
    <x v="0"/>
    <x v="0"/>
    <x v="11"/>
    <x v="7"/>
    <x v="8"/>
    <x v="2"/>
  </r>
  <r>
    <s v="TX501604"/>
    <x v="0"/>
    <x v="8"/>
    <n v="21.3"/>
    <x v="1284"/>
    <x v="59"/>
    <d v="2025-03-03T00:00:00"/>
    <s v="M"/>
    <x v="3"/>
    <x v="1"/>
    <x v="0"/>
    <x v="18"/>
    <x v="1"/>
    <x v="8"/>
    <x v="1"/>
  </r>
  <r>
    <s v="TX501605"/>
    <x v="9"/>
    <x v="2"/>
    <n v="24.3"/>
    <x v="1285"/>
    <x v="59"/>
    <d v="2025-03-02T00:00:00"/>
    <s v="M"/>
    <x v="1"/>
    <x v="0"/>
    <x v="0"/>
    <x v="19"/>
    <x v="3"/>
    <x v="8"/>
    <x v="1"/>
  </r>
  <r>
    <s v="TX501606"/>
    <x v="8"/>
    <x v="0"/>
    <n v="43.3"/>
    <x v="1286"/>
    <x v="59"/>
    <d v="2025-03-05T00:00:00"/>
    <s v="M"/>
    <x v="1"/>
    <x v="1"/>
    <x v="0"/>
    <x v="13"/>
    <x v="5"/>
    <x v="8"/>
    <x v="1"/>
  </r>
  <r>
    <s v="TX501607"/>
    <x v="9"/>
    <x v="2"/>
    <n v="41"/>
    <x v="1287"/>
    <x v="59"/>
    <d v="2025-03-02T00:00:00"/>
    <s v="F"/>
    <x v="3"/>
    <x v="4"/>
    <x v="0"/>
    <x v="21"/>
    <x v="3"/>
    <x v="8"/>
    <x v="2"/>
  </r>
  <r>
    <s v="TX501608"/>
    <x v="16"/>
    <x v="2"/>
    <n v="54.1"/>
    <x v="1288"/>
    <x v="59"/>
    <d v="2025-03-03T00:00:00"/>
    <s v="F"/>
    <x v="4"/>
    <x v="0"/>
    <x v="0"/>
    <x v="21"/>
    <x v="1"/>
    <x v="8"/>
    <x v="2"/>
  </r>
  <r>
    <s v="TX501609"/>
    <x v="11"/>
    <x v="1"/>
    <n v="39"/>
    <x v="292"/>
    <x v="59"/>
    <d v="2025-03-02T00:00:00"/>
    <s v="M"/>
    <x v="1"/>
    <x v="2"/>
    <x v="0"/>
    <x v="1"/>
    <x v="3"/>
    <x v="8"/>
    <x v="1"/>
  </r>
  <r>
    <s v="TX501610"/>
    <x v="8"/>
    <x v="1"/>
    <n v="40.299999999999997"/>
    <x v="7"/>
    <x v="59"/>
    <d v="2025-03-03T00:00:00"/>
    <s v="M"/>
    <x v="3"/>
    <x v="0"/>
    <x v="0"/>
    <x v="27"/>
    <x v="1"/>
    <x v="8"/>
    <x v="1"/>
  </r>
  <r>
    <s v="TX501611"/>
    <x v="8"/>
    <x v="2"/>
    <n v="24.1"/>
    <x v="1289"/>
    <x v="59"/>
    <d v="2025-03-02T00:00:00"/>
    <s v="M"/>
    <x v="0"/>
    <x v="2"/>
    <x v="0"/>
    <x v="34"/>
    <x v="3"/>
    <x v="8"/>
    <x v="1"/>
  </r>
  <r>
    <s v="TX501612"/>
    <x v="6"/>
    <x v="9"/>
    <n v="52.3"/>
    <x v="1290"/>
    <x v="59"/>
    <d v="2025-03-02T00:00:00"/>
    <s v="M"/>
    <x v="2"/>
    <x v="0"/>
    <x v="0"/>
    <x v="3"/>
    <x v="3"/>
    <x v="8"/>
    <x v="1"/>
  </r>
  <r>
    <s v="TX501613"/>
    <x v="12"/>
    <x v="12"/>
    <n v="68.8"/>
    <x v="1291"/>
    <x v="59"/>
    <d v="2025-03-05T00:00:00"/>
    <s v="F"/>
    <x v="4"/>
    <x v="2"/>
    <x v="0"/>
    <x v="3"/>
    <x v="5"/>
    <x v="8"/>
    <x v="2"/>
  </r>
  <r>
    <s v="TX501614"/>
    <x v="2"/>
    <x v="1"/>
    <n v="128.80000000000001"/>
    <x v="1292"/>
    <x v="60"/>
    <d v="2025-03-05T00:00:00"/>
    <s v="F"/>
    <x v="1"/>
    <x v="1"/>
    <x v="0"/>
    <x v="3"/>
    <x v="2"/>
    <x v="9"/>
    <x v="2"/>
  </r>
  <r>
    <s v="TX501615"/>
    <x v="15"/>
    <x v="9"/>
    <n v="48.2"/>
    <x v="1044"/>
    <x v="60"/>
    <d v="2025-03-04T00:00:00"/>
    <s v="F"/>
    <x v="3"/>
    <x v="0"/>
    <x v="0"/>
    <x v="3"/>
    <x v="1"/>
    <x v="9"/>
    <x v="2"/>
  </r>
  <r>
    <s v="TX501616"/>
    <x v="10"/>
    <x v="0"/>
    <n v="39.700000000000003"/>
    <x v="144"/>
    <x v="60"/>
    <d v="2025-03-04T00:00:00"/>
    <s v="F"/>
    <x v="0"/>
    <x v="1"/>
    <x v="0"/>
    <x v="3"/>
    <x v="1"/>
    <x v="9"/>
    <x v="2"/>
  </r>
  <r>
    <s v="TX501617"/>
    <x v="9"/>
    <x v="0"/>
    <n v="59.7"/>
    <x v="1201"/>
    <x v="60"/>
    <d v="2025-03-05T00:00:00"/>
    <s v="F"/>
    <x v="4"/>
    <x v="0"/>
    <x v="0"/>
    <x v="3"/>
    <x v="2"/>
    <x v="9"/>
    <x v="2"/>
  </r>
  <r>
    <s v="TX501618"/>
    <x v="6"/>
    <x v="0"/>
    <n v="48.3"/>
    <x v="1293"/>
    <x v="60"/>
    <d v="2025-03-16T00:00:00"/>
    <s v="O"/>
    <x v="0"/>
    <x v="2"/>
    <x v="0"/>
    <x v="3"/>
    <x v="12"/>
    <x v="9"/>
    <x v="3"/>
  </r>
  <r>
    <s v="TX501619"/>
    <x v="8"/>
    <x v="2"/>
    <n v="45.5"/>
    <x v="1294"/>
    <x v="60"/>
    <d v="2025-03-04T00:00:00"/>
    <s v="M"/>
    <x v="2"/>
    <x v="1"/>
    <x v="0"/>
    <x v="3"/>
    <x v="1"/>
    <x v="9"/>
    <x v="1"/>
  </r>
  <r>
    <s v="TX501620"/>
    <x v="9"/>
    <x v="6"/>
    <n v="51"/>
    <x v="1295"/>
    <x v="60"/>
    <d v="2025-03-02T00:00:00"/>
    <s v="F"/>
    <x v="2"/>
    <x v="0"/>
    <x v="0"/>
    <x v="3"/>
    <x v="7"/>
    <x v="9"/>
    <x v="2"/>
  </r>
  <r>
    <s v="TX501621"/>
    <x v="4"/>
    <x v="13"/>
    <n v="20.399999999999999"/>
    <x v="1296"/>
    <x v="60"/>
    <d v="2025-03-03T00:00:00"/>
    <s v="M"/>
    <x v="2"/>
    <x v="0"/>
    <x v="0"/>
    <x v="3"/>
    <x v="3"/>
    <x v="9"/>
    <x v="1"/>
  </r>
  <r>
    <s v="TX501622"/>
    <x v="10"/>
    <x v="1"/>
    <n v="30.4"/>
    <x v="1297"/>
    <x v="60"/>
    <d v="2025-03-04T00:00:00"/>
    <s v="M"/>
    <x v="2"/>
    <x v="0"/>
    <x v="0"/>
    <x v="3"/>
    <x v="1"/>
    <x v="9"/>
    <x v="1"/>
  </r>
  <r>
    <s v="TX501623"/>
    <x v="7"/>
    <x v="1"/>
    <n v="71.5"/>
    <x v="1298"/>
    <x v="60"/>
    <d v="2025-03-06T00:00:00"/>
    <s v="F"/>
    <x v="0"/>
    <x v="0"/>
    <x v="0"/>
    <x v="3"/>
    <x v="5"/>
    <x v="9"/>
    <x v="2"/>
  </r>
  <r>
    <s v="TX501624"/>
    <x v="8"/>
    <x v="13"/>
    <n v="18"/>
    <x v="807"/>
    <x v="60"/>
    <d v="2025-03-03T00:00:00"/>
    <s v="O"/>
    <x v="1"/>
    <x v="2"/>
    <x v="0"/>
    <x v="6"/>
    <x v="3"/>
    <x v="9"/>
    <x v="3"/>
  </r>
  <r>
    <s v="TX501625"/>
    <x v="15"/>
    <x v="5"/>
    <n v="45.6"/>
    <x v="1299"/>
    <x v="60"/>
    <d v="2025-03-03T00:00:00"/>
    <s v="O"/>
    <x v="1"/>
    <x v="1"/>
    <x v="0"/>
    <x v="7"/>
    <x v="3"/>
    <x v="9"/>
    <x v="3"/>
  </r>
  <r>
    <s v="TX501626"/>
    <x v="9"/>
    <x v="0"/>
    <n v="31.8"/>
    <x v="627"/>
    <x v="60"/>
    <d v="2025-03-06T00:00:00"/>
    <s v="F"/>
    <x v="0"/>
    <x v="2"/>
    <x v="0"/>
    <x v="7"/>
    <x v="5"/>
    <x v="9"/>
    <x v="2"/>
  </r>
  <r>
    <s v="TX501627"/>
    <x v="8"/>
    <x v="9"/>
    <n v="19.899999999999999"/>
    <x v="1300"/>
    <x v="60"/>
    <d v="2025-03-03T00:00:00"/>
    <s v="F"/>
    <x v="1"/>
    <x v="0"/>
    <x v="0"/>
    <x v="7"/>
    <x v="3"/>
    <x v="9"/>
    <x v="2"/>
  </r>
  <r>
    <s v="TX501628"/>
    <x v="12"/>
    <x v="11"/>
    <n v="52.1"/>
    <x v="1301"/>
    <x v="60"/>
    <d v="2025-03-04T00:00:00"/>
    <s v="M"/>
    <x v="0"/>
    <x v="0"/>
    <x v="0"/>
    <x v="8"/>
    <x v="1"/>
    <x v="9"/>
    <x v="1"/>
  </r>
  <r>
    <s v="TX501629"/>
    <x v="1"/>
    <x v="3"/>
    <n v="45.9"/>
    <x v="1198"/>
    <x v="60"/>
    <d v="2025-03-03T00:00:00"/>
    <s v="M"/>
    <x v="0"/>
    <x v="1"/>
    <x v="0"/>
    <x v="8"/>
    <x v="3"/>
    <x v="9"/>
    <x v="1"/>
  </r>
  <r>
    <s v="TX501630"/>
    <x v="1"/>
    <x v="7"/>
    <n v="115.9"/>
    <x v="1302"/>
    <x v="60"/>
    <d v="2025-03-05T00:00:00"/>
    <s v="F"/>
    <x v="1"/>
    <x v="0"/>
    <x v="0"/>
    <x v="8"/>
    <x v="2"/>
    <x v="9"/>
    <x v="2"/>
  </r>
  <r>
    <s v="TX501631"/>
    <x v="6"/>
    <x v="11"/>
    <n v="86"/>
    <x v="1303"/>
    <x v="60"/>
    <d v="2025-03-07T00:00:00"/>
    <s v="F"/>
    <x v="0"/>
    <x v="1"/>
    <x v="0"/>
    <x v="8"/>
    <x v="0"/>
    <x v="9"/>
    <x v="2"/>
  </r>
  <r>
    <s v="TX501632"/>
    <x v="7"/>
    <x v="3"/>
    <n v="73.599999999999994"/>
    <x v="1304"/>
    <x v="60"/>
    <d v="2025-03-04T00:00:00"/>
    <s v="F"/>
    <x v="0"/>
    <x v="0"/>
    <x v="0"/>
    <x v="17"/>
    <x v="1"/>
    <x v="9"/>
    <x v="2"/>
  </r>
  <r>
    <s v="TX501633"/>
    <x v="10"/>
    <x v="2"/>
    <n v="26.7"/>
    <x v="1133"/>
    <x v="60"/>
    <d v="2025-03-06T00:00:00"/>
    <s v="F"/>
    <x v="0"/>
    <x v="0"/>
    <x v="0"/>
    <x v="11"/>
    <x v="5"/>
    <x v="9"/>
    <x v="2"/>
  </r>
  <r>
    <s v="TX501634"/>
    <x v="8"/>
    <x v="3"/>
    <n v="46.6"/>
    <x v="1305"/>
    <x v="60"/>
    <d v="2025-03-04T00:00:00"/>
    <s v=""/>
    <x v="3"/>
    <x v="0"/>
    <x v="0"/>
    <x v="11"/>
    <x v="1"/>
    <x v="9"/>
    <x v="0"/>
  </r>
  <r>
    <s v="TX501635"/>
    <x v="3"/>
    <x v="2"/>
    <n v="84.6"/>
    <x v="1306"/>
    <x v="60"/>
    <d v="2025-03-04T00:00:00"/>
    <s v="M"/>
    <x v="4"/>
    <x v="0"/>
    <x v="0"/>
    <x v="11"/>
    <x v="1"/>
    <x v="9"/>
    <x v="1"/>
  </r>
  <r>
    <s v="TX501636"/>
    <x v="7"/>
    <x v="21"/>
    <n v="41.5"/>
    <x v="1307"/>
    <x v="60"/>
    <d v="2025-03-16T00:00:00"/>
    <s v="M"/>
    <x v="1"/>
    <x v="0"/>
    <x v="0"/>
    <x v="53"/>
    <x v="12"/>
    <x v="9"/>
    <x v="1"/>
  </r>
  <r>
    <s v="TX501637"/>
    <x v="8"/>
    <x v="0"/>
    <n v="32.799999999999997"/>
    <x v="944"/>
    <x v="60"/>
    <d v="2025-03-05T00:00:00"/>
    <s v="M"/>
    <x v="0"/>
    <x v="2"/>
    <x v="0"/>
    <x v="30"/>
    <x v="2"/>
    <x v="9"/>
    <x v="1"/>
  </r>
  <r>
    <s v="TX501638"/>
    <x v="4"/>
    <x v="3"/>
    <n v="46.7"/>
    <x v="1308"/>
    <x v="60"/>
    <d v="2025-03-04T00:00:00"/>
    <s v="O"/>
    <x v="0"/>
    <x v="2"/>
    <x v="0"/>
    <x v="18"/>
    <x v="1"/>
    <x v="9"/>
    <x v="3"/>
  </r>
  <r>
    <s v="TX501639"/>
    <x v="15"/>
    <x v="3"/>
    <n v="21"/>
    <x v="926"/>
    <x v="60"/>
    <d v="2025-03-05T00:00:00"/>
    <s v="M"/>
    <x v="2"/>
    <x v="1"/>
    <x v="0"/>
    <x v="21"/>
    <x v="2"/>
    <x v="9"/>
    <x v="1"/>
  </r>
  <r>
    <s v="TX501640"/>
    <x v="5"/>
    <x v="3"/>
    <n v="29.4"/>
    <x v="43"/>
    <x v="60"/>
    <d v="2025-03-02T00:00:00"/>
    <s v="M"/>
    <x v="3"/>
    <x v="2"/>
    <x v="0"/>
    <x v="21"/>
    <x v="7"/>
    <x v="9"/>
    <x v="1"/>
  </r>
  <r>
    <s v="TX501641"/>
    <x v="15"/>
    <x v="1"/>
    <n v="32.299999999999997"/>
    <x v="1099"/>
    <x v="60"/>
    <d v="2025-03-03T00:00:00"/>
    <s v="M"/>
    <x v="0"/>
    <x v="2"/>
    <x v="0"/>
    <x v="21"/>
    <x v="3"/>
    <x v="9"/>
    <x v="1"/>
  </r>
  <r>
    <s v="TX501642"/>
    <x v="6"/>
    <x v="0"/>
    <n v="42.2"/>
    <x v="1283"/>
    <x v="61"/>
    <d v="2025-03-05T00:00:00"/>
    <s v="F"/>
    <x v="0"/>
    <x v="2"/>
    <x v="0"/>
    <x v="21"/>
    <x v="1"/>
    <x v="9"/>
    <x v="2"/>
  </r>
  <r>
    <s v="TX501643"/>
    <x v="6"/>
    <x v="0"/>
    <n v="53.7"/>
    <x v="1309"/>
    <x v="61"/>
    <d v="2025-03-05T00:00:00"/>
    <s v="M"/>
    <x v="1"/>
    <x v="1"/>
    <x v="0"/>
    <x v="1"/>
    <x v="1"/>
    <x v="9"/>
    <x v="1"/>
  </r>
  <r>
    <s v="TX501644"/>
    <x v="2"/>
    <x v="1"/>
    <n v="123.9"/>
    <x v="1310"/>
    <x v="61"/>
    <d v="2025-03-06T00:00:00"/>
    <s v="M"/>
    <x v="2"/>
    <x v="0"/>
    <x v="0"/>
    <x v="1"/>
    <x v="2"/>
    <x v="9"/>
    <x v="1"/>
  </r>
  <r>
    <s v="TX501645"/>
    <x v="4"/>
    <x v="2"/>
    <n v="35.9"/>
    <x v="1311"/>
    <x v="61"/>
    <d v="2025-03-05T00:00:00"/>
    <s v="M"/>
    <x v="2"/>
    <x v="0"/>
    <x v="0"/>
    <x v="22"/>
    <x v="1"/>
    <x v="9"/>
    <x v="1"/>
  </r>
  <r>
    <s v="TX501646"/>
    <x v="4"/>
    <x v="1"/>
    <n v="23.6"/>
    <x v="828"/>
    <x v="61"/>
    <d v="2025-03-06T00:00:00"/>
    <s v="M"/>
    <x v="0"/>
    <x v="2"/>
    <x v="0"/>
    <x v="3"/>
    <x v="2"/>
    <x v="9"/>
    <x v="1"/>
  </r>
  <r>
    <s v="TX501647"/>
    <x v="15"/>
    <x v="36"/>
    <n v="45.7"/>
    <x v="1312"/>
    <x v="61"/>
    <d v="2025-03-04T00:00:00"/>
    <s v="M"/>
    <x v="0"/>
    <x v="1"/>
    <x v="0"/>
    <x v="3"/>
    <x v="3"/>
    <x v="9"/>
    <x v="1"/>
  </r>
  <r>
    <s v="TX501648"/>
    <x v="6"/>
    <x v="5"/>
    <n v="118.3"/>
    <x v="1313"/>
    <x v="61"/>
    <d v="2025-03-05T00:00:00"/>
    <s v="M"/>
    <x v="4"/>
    <x v="2"/>
    <x v="0"/>
    <x v="3"/>
    <x v="1"/>
    <x v="9"/>
    <x v="1"/>
  </r>
  <r>
    <s v="TX501649"/>
    <x v="19"/>
    <x v="0"/>
    <n v="36"/>
    <x v="53"/>
    <x v="61"/>
    <d v="2025-03-04T00:00:00"/>
    <s v="F"/>
    <x v="0"/>
    <x v="1"/>
    <x v="0"/>
    <x v="3"/>
    <x v="3"/>
    <x v="9"/>
    <x v="2"/>
  </r>
  <r>
    <s v="TX501650"/>
    <x v="8"/>
    <x v="1"/>
    <n v="37.1"/>
    <x v="1314"/>
    <x v="61"/>
    <d v="2025-03-06T00:00:00"/>
    <s v="F"/>
    <x v="2"/>
    <x v="0"/>
    <x v="0"/>
    <x v="3"/>
    <x v="2"/>
    <x v="9"/>
    <x v="2"/>
  </r>
  <r>
    <s v="TX501651"/>
    <x v="18"/>
    <x v="2"/>
    <n v="45.1"/>
    <x v="246"/>
    <x v="61"/>
    <d v="2025-03-05T00:00:00"/>
    <s v="F"/>
    <x v="1"/>
    <x v="2"/>
    <x v="0"/>
    <x v="3"/>
    <x v="1"/>
    <x v="9"/>
    <x v="2"/>
  </r>
  <r>
    <s v="TX501652"/>
    <x v="5"/>
    <x v="27"/>
    <n v="37.9"/>
    <x v="1315"/>
    <x v="61"/>
    <d v="2025-03-04T00:00:00"/>
    <s v="F"/>
    <x v="3"/>
    <x v="2"/>
    <x v="0"/>
    <x v="3"/>
    <x v="3"/>
    <x v="9"/>
    <x v="2"/>
  </r>
  <r>
    <s v="TX501653"/>
    <x v="2"/>
    <x v="1"/>
    <n v="121.6"/>
    <x v="1316"/>
    <x v="61"/>
    <d v="2025-03-06T00:00:00"/>
    <s v="M"/>
    <x v="3"/>
    <x v="2"/>
    <x v="0"/>
    <x v="3"/>
    <x v="2"/>
    <x v="9"/>
    <x v="1"/>
  </r>
  <r>
    <s v="TX501654"/>
    <x v="5"/>
    <x v="3"/>
    <n v="38.200000000000003"/>
    <x v="1317"/>
    <x v="61"/>
    <d v="2025-03-06T00:00:00"/>
    <s v="F"/>
    <x v="0"/>
    <x v="0"/>
    <x v="0"/>
    <x v="3"/>
    <x v="2"/>
    <x v="9"/>
    <x v="2"/>
  </r>
  <r>
    <s v="TX501655"/>
    <x v="17"/>
    <x v="1"/>
    <n v="37.200000000000003"/>
    <x v="610"/>
    <x v="61"/>
    <d v="2025-03-06T00:00:00"/>
    <s v="M"/>
    <x v="4"/>
    <x v="0"/>
    <x v="0"/>
    <x v="3"/>
    <x v="2"/>
    <x v="9"/>
    <x v="1"/>
  </r>
  <r>
    <s v="TX501656"/>
    <x v="2"/>
    <x v="12"/>
    <n v="115.7"/>
    <x v="1318"/>
    <x v="61"/>
    <d v="2025-03-06T00:00:00"/>
    <s v="F"/>
    <x v="1"/>
    <x v="0"/>
    <x v="0"/>
    <x v="3"/>
    <x v="2"/>
    <x v="9"/>
    <x v="2"/>
  </r>
  <r>
    <s v="TX501657"/>
    <x v="2"/>
    <x v="13"/>
    <n v="99.4"/>
    <x v="1319"/>
    <x v="61"/>
    <d v="2025-03-06T00:00:00"/>
    <s v="M"/>
    <x v="0"/>
    <x v="2"/>
    <x v="0"/>
    <x v="3"/>
    <x v="2"/>
    <x v="9"/>
    <x v="1"/>
  </r>
  <r>
    <s v="TX501658"/>
    <x v="11"/>
    <x v="0"/>
    <n v="38.700000000000003"/>
    <x v="1320"/>
    <x v="61"/>
    <d v="2025-03-04T00:00:00"/>
    <s v="F"/>
    <x v="2"/>
    <x v="0"/>
    <x v="0"/>
    <x v="25"/>
    <x v="3"/>
    <x v="9"/>
    <x v="2"/>
  </r>
  <r>
    <s v="TX501659"/>
    <x v="4"/>
    <x v="1"/>
    <n v="35.5"/>
    <x v="1321"/>
    <x v="61"/>
    <d v="2025-03-06T00:00:00"/>
    <s v="M"/>
    <x v="0"/>
    <x v="2"/>
    <x v="0"/>
    <x v="25"/>
    <x v="2"/>
    <x v="9"/>
    <x v="1"/>
  </r>
  <r>
    <s v="TX501660"/>
    <x v="2"/>
    <x v="12"/>
    <n v="93.3"/>
    <x v="1322"/>
    <x v="61"/>
    <d v="2025-03-06T00:00:00"/>
    <s v="F"/>
    <x v="0"/>
    <x v="2"/>
    <x v="0"/>
    <x v="6"/>
    <x v="2"/>
    <x v="9"/>
    <x v="2"/>
  </r>
  <r>
    <s v="TX501661"/>
    <x v="16"/>
    <x v="0"/>
    <n v="31.4"/>
    <x v="1323"/>
    <x v="61"/>
    <d v="2025-03-08T00:00:00"/>
    <s v="F"/>
    <x v="2"/>
    <x v="2"/>
    <x v="0"/>
    <x v="6"/>
    <x v="0"/>
    <x v="9"/>
    <x v="2"/>
  </r>
  <r>
    <s v="TX501662"/>
    <x v="1"/>
    <x v="0"/>
    <n v="85.9"/>
    <x v="1324"/>
    <x v="61"/>
    <d v="2025-03-06T00:00:00"/>
    <s v="M"/>
    <x v="1"/>
    <x v="0"/>
    <x v="0"/>
    <x v="6"/>
    <x v="2"/>
    <x v="9"/>
    <x v="1"/>
  </r>
  <r>
    <s v="TX501663"/>
    <x v="6"/>
    <x v="8"/>
    <n v="41.7"/>
    <x v="335"/>
    <x v="61"/>
    <d v="2025-03-11T00:00:00"/>
    <s v="M"/>
    <x v="0"/>
    <x v="2"/>
    <x v="0"/>
    <x v="7"/>
    <x v="9"/>
    <x v="9"/>
    <x v="1"/>
  </r>
  <r>
    <s v="TX501664"/>
    <x v="8"/>
    <x v="12"/>
    <n v="31.5"/>
    <x v="624"/>
    <x v="61"/>
    <d v="2025-03-04T00:00:00"/>
    <s v="F"/>
    <x v="0"/>
    <x v="0"/>
    <x v="0"/>
    <x v="7"/>
    <x v="3"/>
    <x v="9"/>
    <x v="2"/>
  </r>
  <r>
    <s v="TX501665"/>
    <x v="8"/>
    <x v="1"/>
    <n v="36.299999999999997"/>
    <x v="1325"/>
    <x v="61"/>
    <d v="2025-03-04T00:00:00"/>
    <s v="F"/>
    <x v="0"/>
    <x v="4"/>
    <x v="0"/>
    <x v="8"/>
    <x v="3"/>
    <x v="9"/>
    <x v="2"/>
  </r>
  <r>
    <s v="TX501666"/>
    <x v="8"/>
    <x v="2"/>
    <n v="33.4"/>
    <x v="1326"/>
    <x v="61"/>
    <d v="2025-03-04T00:00:00"/>
    <s v="F"/>
    <x v="3"/>
    <x v="0"/>
    <x v="0"/>
    <x v="17"/>
    <x v="3"/>
    <x v="9"/>
    <x v="2"/>
  </r>
  <r>
    <s v="TX501667"/>
    <x v="2"/>
    <x v="2"/>
    <n v="65.2"/>
    <x v="1327"/>
    <x v="61"/>
    <d v="2025-03-04T00:00:00"/>
    <s v="F"/>
    <x v="2"/>
    <x v="2"/>
    <x v="0"/>
    <x v="26"/>
    <x v="3"/>
    <x v="9"/>
    <x v="2"/>
  </r>
  <r>
    <s v="TX501668"/>
    <x v="8"/>
    <x v="11"/>
    <n v="65.5"/>
    <x v="1328"/>
    <x v="61"/>
    <d v="2025-03-06T00:00:00"/>
    <s v="F"/>
    <x v="0"/>
    <x v="2"/>
    <x v="0"/>
    <x v="9"/>
    <x v="2"/>
    <x v="9"/>
    <x v="2"/>
  </r>
  <r>
    <s v="TX501669"/>
    <x v="6"/>
    <x v="2"/>
    <n v="52.8"/>
    <x v="1329"/>
    <x v="61"/>
    <d v="2025-03-06T00:00:00"/>
    <s v="M"/>
    <x v="2"/>
    <x v="0"/>
    <x v="0"/>
    <x v="9"/>
    <x v="2"/>
    <x v="9"/>
    <x v="1"/>
  </r>
  <r>
    <s v="TX501670"/>
    <x v="9"/>
    <x v="9"/>
    <n v="24"/>
    <x v="160"/>
    <x v="61"/>
    <d v="2025-03-07T00:00:00"/>
    <s v="M"/>
    <x v="0"/>
    <x v="1"/>
    <x v="0"/>
    <x v="11"/>
    <x v="5"/>
    <x v="9"/>
    <x v="1"/>
  </r>
  <r>
    <s v="TX501671"/>
    <x v="3"/>
    <x v="2"/>
    <n v="51.2"/>
    <x v="1330"/>
    <x v="61"/>
    <d v="2025-03-04T00:00:00"/>
    <s v="F"/>
    <x v="0"/>
    <x v="0"/>
    <x v="0"/>
    <x v="32"/>
    <x v="3"/>
    <x v="9"/>
    <x v="2"/>
  </r>
  <r>
    <s v="TX501672"/>
    <x v="5"/>
    <x v="2"/>
    <n v="28.3"/>
    <x v="1331"/>
    <x v="61"/>
    <d v="2025-03-05T00:00:00"/>
    <s v="M"/>
    <x v="4"/>
    <x v="0"/>
    <x v="0"/>
    <x v="19"/>
    <x v="1"/>
    <x v="9"/>
    <x v="1"/>
  </r>
  <r>
    <s v="TX501673"/>
    <x v="6"/>
    <x v="2"/>
    <n v="42.3"/>
    <x v="1332"/>
    <x v="61"/>
    <d v="2025-03-03T00:00:00"/>
    <s v="F"/>
    <x v="2"/>
    <x v="1"/>
    <x v="0"/>
    <x v="19"/>
    <x v="7"/>
    <x v="9"/>
    <x v="2"/>
  </r>
  <r>
    <s v="TX501674"/>
    <x v="2"/>
    <x v="8"/>
    <n v="163.30000000000001"/>
    <x v="1333"/>
    <x v="62"/>
    <d v="2025-03-05T00:00:00"/>
    <s v="F"/>
    <x v="1"/>
    <x v="0"/>
    <x v="0"/>
    <x v="13"/>
    <x v="3"/>
    <x v="9"/>
    <x v="2"/>
  </r>
  <r>
    <s v="TX501675"/>
    <x v="6"/>
    <x v="3"/>
    <n v="47.3"/>
    <x v="1334"/>
    <x v="62"/>
    <d v="2025-03-07T00:00:00"/>
    <s v="F"/>
    <x v="4"/>
    <x v="1"/>
    <x v="0"/>
    <x v="21"/>
    <x v="2"/>
    <x v="9"/>
    <x v="2"/>
  </r>
  <r>
    <s v="TX501676"/>
    <x v="8"/>
    <x v="27"/>
    <n v="27.3"/>
    <x v="1335"/>
    <x v="62"/>
    <d v="2025-03-05T00:00:00"/>
    <s v="F"/>
    <x v="2"/>
    <x v="0"/>
    <x v="0"/>
    <x v="21"/>
    <x v="3"/>
    <x v="9"/>
    <x v="2"/>
  </r>
  <r>
    <s v="TX501677"/>
    <x v="10"/>
    <x v="13"/>
    <n v="34.9"/>
    <x v="1336"/>
    <x v="62"/>
    <d v="2025-03-15T00:00:00"/>
    <s v="F"/>
    <x v="0"/>
    <x v="0"/>
    <x v="0"/>
    <x v="21"/>
    <x v="11"/>
    <x v="9"/>
    <x v="2"/>
  </r>
  <r>
    <s v="TX501678"/>
    <x v="6"/>
    <x v="1"/>
    <n v="53.9"/>
    <x v="215"/>
    <x v="62"/>
    <d v="2025-03-07T00:00:00"/>
    <s v="O"/>
    <x v="0"/>
    <x v="4"/>
    <x v="0"/>
    <x v="1"/>
    <x v="2"/>
    <x v="9"/>
    <x v="3"/>
  </r>
  <r>
    <s v="TX501679"/>
    <x v="2"/>
    <x v="1"/>
    <n v="87.2"/>
    <x v="1337"/>
    <x v="62"/>
    <d v="2025-03-05T00:00:00"/>
    <s v="F"/>
    <x v="0"/>
    <x v="1"/>
    <x v="0"/>
    <x v="1"/>
    <x v="3"/>
    <x v="9"/>
    <x v="2"/>
  </r>
  <r>
    <s v="TX501680"/>
    <x v="15"/>
    <x v="0"/>
    <n v="58.8"/>
    <x v="572"/>
    <x v="62"/>
    <d v="2025-03-06T00:00:00"/>
    <s v="F"/>
    <x v="2"/>
    <x v="0"/>
    <x v="0"/>
    <x v="44"/>
    <x v="1"/>
    <x v="9"/>
    <x v="2"/>
  </r>
  <r>
    <s v="TX501681"/>
    <x v="2"/>
    <x v="3"/>
    <n v="125.5"/>
    <x v="1338"/>
    <x v="62"/>
    <d v="2025-03-05T00:00:00"/>
    <s v="M"/>
    <x v="2"/>
    <x v="4"/>
    <x v="0"/>
    <x v="22"/>
    <x v="3"/>
    <x v="9"/>
    <x v="1"/>
  </r>
  <r>
    <s v="TX501682"/>
    <x v="1"/>
    <x v="12"/>
    <n v="124.6"/>
    <x v="1339"/>
    <x v="62"/>
    <d v="2025-03-06T00:00:00"/>
    <s v="F"/>
    <x v="0"/>
    <x v="1"/>
    <x v="0"/>
    <x v="22"/>
    <x v="1"/>
    <x v="9"/>
    <x v="2"/>
  </r>
  <r>
    <s v="TX501683"/>
    <x v="1"/>
    <x v="3"/>
    <n v="39.9"/>
    <x v="1340"/>
    <x v="62"/>
    <d v="2025-03-05T00:00:00"/>
    <s v="M"/>
    <x v="2"/>
    <x v="1"/>
    <x v="0"/>
    <x v="3"/>
    <x v="3"/>
    <x v="9"/>
    <x v="1"/>
  </r>
  <r>
    <s v="TX501684"/>
    <x v="6"/>
    <x v="0"/>
    <n v="94.6"/>
    <x v="422"/>
    <x v="62"/>
    <d v="2025-03-18T00:00:00"/>
    <s v="F"/>
    <x v="0"/>
    <x v="1"/>
    <x v="0"/>
    <x v="3"/>
    <x v="12"/>
    <x v="9"/>
    <x v="2"/>
  </r>
  <r>
    <s v="TX501685"/>
    <x v="2"/>
    <x v="1"/>
    <n v="149.6"/>
    <x v="1341"/>
    <x v="62"/>
    <d v="2025-03-05T00:00:00"/>
    <s v="F"/>
    <x v="0"/>
    <x v="0"/>
    <x v="0"/>
    <x v="3"/>
    <x v="3"/>
    <x v="9"/>
    <x v="2"/>
  </r>
  <r>
    <s v="TX501686"/>
    <x v="8"/>
    <x v="0"/>
    <n v="52.2"/>
    <x v="1342"/>
    <x v="62"/>
    <d v="2025-03-05T00:00:00"/>
    <s v=""/>
    <x v="1"/>
    <x v="0"/>
    <x v="0"/>
    <x v="3"/>
    <x v="3"/>
    <x v="9"/>
    <x v="0"/>
  </r>
  <r>
    <s v="TX501687"/>
    <x v="6"/>
    <x v="1"/>
    <n v="96.5"/>
    <x v="1343"/>
    <x v="62"/>
    <d v="2025-03-05T00:00:00"/>
    <s v="F"/>
    <x v="1"/>
    <x v="1"/>
    <x v="0"/>
    <x v="3"/>
    <x v="3"/>
    <x v="9"/>
    <x v="2"/>
  </r>
  <r>
    <s v="TX501688"/>
    <x v="8"/>
    <x v="1"/>
    <n v="79.8"/>
    <x v="1344"/>
    <x v="62"/>
    <d v="2025-03-06T00:00:00"/>
    <s v="F"/>
    <x v="0"/>
    <x v="1"/>
    <x v="0"/>
    <x v="3"/>
    <x v="1"/>
    <x v="9"/>
    <x v="2"/>
  </r>
  <r>
    <s v="TX501689"/>
    <x v="8"/>
    <x v="2"/>
    <n v="35.6"/>
    <x v="694"/>
    <x v="62"/>
    <d v="2025-03-05T00:00:00"/>
    <s v="F"/>
    <x v="2"/>
    <x v="0"/>
    <x v="0"/>
    <x v="3"/>
    <x v="3"/>
    <x v="9"/>
    <x v="2"/>
  </r>
  <r>
    <s v="TX501690"/>
    <x v="16"/>
    <x v="0"/>
    <n v="50.2"/>
    <x v="486"/>
    <x v="62"/>
    <d v="2025-03-05T00:00:00"/>
    <s v="F"/>
    <x v="1"/>
    <x v="2"/>
    <x v="0"/>
    <x v="3"/>
    <x v="3"/>
    <x v="9"/>
    <x v="2"/>
  </r>
  <r>
    <s v="TX501691"/>
    <x v="1"/>
    <x v="2"/>
    <n v="55.3"/>
    <x v="1345"/>
    <x v="62"/>
    <d v="2025-03-07T00:00:00"/>
    <s v="F"/>
    <x v="0"/>
    <x v="4"/>
    <x v="0"/>
    <x v="40"/>
    <x v="2"/>
    <x v="9"/>
    <x v="2"/>
  </r>
  <r>
    <s v="TX501692"/>
    <x v="6"/>
    <x v="3"/>
    <n v="104.5"/>
    <x v="1346"/>
    <x v="62"/>
    <d v="2025-03-08T00:00:00"/>
    <s v="F"/>
    <x v="1"/>
    <x v="0"/>
    <x v="0"/>
    <x v="7"/>
    <x v="5"/>
    <x v="9"/>
    <x v="2"/>
  </r>
  <r>
    <s v="TX501693"/>
    <x v="6"/>
    <x v="12"/>
    <n v="66.5"/>
    <x v="751"/>
    <x v="62"/>
    <d v="2025-03-06T00:00:00"/>
    <s v="M"/>
    <x v="1"/>
    <x v="0"/>
    <x v="0"/>
    <x v="7"/>
    <x v="1"/>
    <x v="9"/>
    <x v="1"/>
  </r>
  <r>
    <s v="TX501694"/>
    <x v="10"/>
    <x v="8"/>
    <n v="38.299999999999997"/>
    <x v="1347"/>
    <x v="62"/>
    <d v="2025-03-05T00:00:00"/>
    <s v="F"/>
    <x v="0"/>
    <x v="0"/>
    <x v="0"/>
    <x v="7"/>
    <x v="3"/>
    <x v="9"/>
    <x v="2"/>
  </r>
  <r>
    <s v="TX501695"/>
    <x v="6"/>
    <x v="2"/>
    <n v="63.8"/>
    <x v="1348"/>
    <x v="62"/>
    <d v="2025-03-07T00:00:00"/>
    <s v="F"/>
    <x v="1"/>
    <x v="0"/>
    <x v="0"/>
    <x v="8"/>
    <x v="2"/>
    <x v="9"/>
    <x v="2"/>
  </r>
  <r>
    <s v="TX501696"/>
    <x v="15"/>
    <x v="0"/>
    <n v="21.4"/>
    <x v="1349"/>
    <x v="62"/>
    <d v="2025-03-04T00:00:00"/>
    <s v="M"/>
    <x v="4"/>
    <x v="0"/>
    <x v="0"/>
    <x v="8"/>
    <x v="7"/>
    <x v="9"/>
    <x v="1"/>
  </r>
  <r>
    <s v="TX501697"/>
    <x v="8"/>
    <x v="12"/>
    <n v="44.1"/>
    <x v="1350"/>
    <x v="62"/>
    <d v="2025-03-06T00:00:00"/>
    <s v="F"/>
    <x v="2"/>
    <x v="0"/>
    <x v="0"/>
    <x v="8"/>
    <x v="1"/>
    <x v="9"/>
    <x v="2"/>
  </r>
  <r>
    <s v="TX501698"/>
    <x v="5"/>
    <x v="8"/>
    <n v="57.6"/>
    <x v="1351"/>
    <x v="62"/>
    <d v="2025-03-06T00:00:00"/>
    <s v="M"/>
    <x v="1"/>
    <x v="2"/>
    <x v="0"/>
    <x v="8"/>
    <x v="1"/>
    <x v="9"/>
    <x v="1"/>
  </r>
  <r>
    <s v="TX501699"/>
    <x v="9"/>
    <x v="1"/>
    <n v="20.3"/>
    <x v="1352"/>
    <x v="62"/>
    <d v="2025-03-10T00:00:00"/>
    <s v="F"/>
    <x v="3"/>
    <x v="0"/>
    <x v="0"/>
    <x v="8"/>
    <x v="4"/>
    <x v="9"/>
    <x v="2"/>
  </r>
  <r>
    <s v="TX501700"/>
    <x v="8"/>
    <x v="0"/>
    <n v="22.9"/>
    <x v="1246"/>
    <x v="62"/>
    <d v="2025-03-06T00:00:00"/>
    <s v="F"/>
    <x v="2"/>
    <x v="2"/>
    <x v="0"/>
    <x v="8"/>
    <x v="1"/>
    <x v="9"/>
    <x v="2"/>
  </r>
  <r>
    <s v="TX501701"/>
    <x v="6"/>
    <x v="12"/>
    <n v="105.9"/>
    <x v="1353"/>
    <x v="62"/>
    <d v="2025-03-05T00:00:00"/>
    <s v="F"/>
    <x v="1"/>
    <x v="2"/>
    <x v="0"/>
    <x v="17"/>
    <x v="3"/>
    <x v="9"/>
    <x v="2"/>
  </r>
  <r>
    <s v="TX501702"/>
    <x v="1"/>
    <x v="11"/>
    <n v="37.4"/>
    <x v="1354"/>
    <x v="62"/>
    <d v="2025-03-08T00:00:00"/>
    <s v="M"/>
    <x v="1"/>
    <x v="0"/>
    <x v="0"/>
    <x v="11"/>
    <x v="5"/>
    <x v="9"/>
    <x v="1"/>
  </r>
  <r>
    <s v="TX501703"/>
    <x v="18"/>
    <x v="1"/>
    <n v="79"/>
    <x v="1355"/>
    <x v="62"/>
    <d v="2025-03-05T00:00:00"/>
    <s v="M"/>
    <x v="2"/>
    <x v="0"/>
    <x v="0"/>
    <x v="28"/>
    <x v="3"/>
    <x v="9"/>
    <x v="1"/>
  </r>
  <r>
    <s v="TX501704"/>
    <x v="0"/>
    <x v="2"/>
    <n v="19.3"/>
    <x v="1356"/>
    <x v="62"/>
    <d v="2025-03-05T00:00:00"/>
    <s v="F"/>
    <x v="4"/>
    <x v="0"/>
    <x v="0"/>
    <x v="21"/>
    <x v="3"/>
    <x v="9"/>
    <x v="2"/>
  </r>
  <r>
    <s v="TX501705"/>
    <x v="0"/>
    <x v="0"/>
    <n v="24"/>
    <x v="835"/>
    <x v="62"/>
    <d v="2025-03-05T00:00:00"/>
    <s v="F"/>
    <x v="1"/>
    <x v="0"/>
    <x v="0"/>
    <x v="1"/>
    <x v="3"/>
    <x v="9"/>
    <x v="2"/>
  </r>
  <r>
    <s v="TX501706"/>
    <x v="6"/>
    <x v="9"/>
    <n v="71.3"/>
    <x v="1357"/>
    <x v="62"/>
    <d v="2025-03-07T00:00:00"/>
    <s v="F"/>
    <x v="2"/>
    <x v="0"/>
    <x v="0"/>
    <x v="2"/>
    <x v="2"/>
    <x v="9"/>
    <x v="2"/>
  </r>
  <r>
    <s v="TX501707"/>
    <x v="5"/>
    <x v="1"/>
    <n v="166.2"/>
    <x v="1358"/>
    <x v="62"/>
    <d v="2025-03-05T00:00:00"/>
    <s v="M"/>
    <x v="0"/>
    <x v="2"/>
    <x v="0"/>
    <x v="50"/>
    <x v="3"/>
    <x v="9"/>
    <x v="1"/>
  </r>
  <r>
    <s v="TX501708"/>
    <x v="6"/>
    <x v="0"/>
    <n v="81"/>
    <x v="969"/>
    <x v="62"/>
    <d v="2025-03-05T00:00:00"/>
    <s v="F"/>
    <x v="2"/>
    <x v="1"/>
    <x v="0"/>
    <x v="3"/>
    <x v="3"/>
    <x v="9"/>
    <x v="2"/>
  </r>
  <r>
    <s v="TX501709"/>
    <x v="10"/>
    <x v="13"/>
    <n v="38.5"/>
    <x v="1359"/>
    <x v="62"/>
    <d v="2025-03-08T00:00:00"/>
    <s v="F"/>
    <x v="0"/>
    <x v="0"/>
    <x v="0"/>
    <x v="3"/>
    <x v="5"/>
    <x v="9"/>
    <x v="2"/>
  </r>
  <r>
    <s v="TX501710"/>
    <x v="6"/>
    <x v="0"/>
    <n v="86.1"/>
    <x v="1360"/>
    <x v="62"/>
    <d v="2025-03-06T00:00:00"/>
    <s v="F"/>
    <x v="3"/>
    <x v="0"/>
    <x v="0"/>
    <x v="3"/>
    <x v="1"/>
    <x v="9"/>
    <x v="2"/>
  </r>
  <r>
    <s v="TX501711"/>
    <x v="2"/>
    <x v="9"/>
    <n v="51"/>
    <x v="951"/>
    <x v="62"/>
    <d v="2025-03-05T00:00:00"/>
    <s v="M"/>
    <x v="0"/>
    <x v="1"/>
    <x v="0"/>
    <x v="3"/>
    <x v="3"/>
    <x v="9"/>
    <x v="1"/>
  </r>
  <r>
    <s v="TX501712"/>
    <x v="3"/>
    <x v="9"/>
    <n v="115.4"/>
    <x v="1361"/>
    <x v="62"/>
    <d v="2025-03-05T00:00:00"/>
    <s v="M"/>
    <x v="0"/>
    <x v="0"/>
    <x v="0"/>
    <x v="3"/>
    <x v="3"/>
    <x v="9"/>
    <x v="1"/>
  </r>
  <r>
    <s v="TX501713"/>
    <x v="6"/>
    <x v="12"/>
    <n v="176.5"/>
    <x v="1362"/>
    <x v="62"/>
    <d v="2025-03-05T00:00:00"/>
    <s v="F"/>
    <x v="2"/>
    <x v="2"/>
    <x v="0"/>
    <x v="3"/>
    <x v="3"/>
    <x v="9"/>
    <x v="2"/>
  </r>
  <r>
    <s v="TX501714"/>
    <x v="7"/>
    <x v="2"/>
    <n v="48.9"/>
    <x v="1363"/>
    <x v="62"/>
    <d v="2025-03-05T00:00:00"/>
    <s v="M"/>
    <x v="4"/>
    <x v="0"/>
    <x v="0"/>
    <x v="3"/>
    <x v="3"/>
    <x v="9"/>
    <x v="1"/>
  </r>
  <r>
    <s v="TX501715"/>
    <x v="8"/>
    <x v="2"/>
    <n v="18.100000000000001"/>
    <x v="1364"/>
    <x v="62"/>
    <d v="2025-03-11T00:00:00"/>
    <s v="F"/>
    <x v="1"/>
    <x v="2"/>
    <x v="0"/>
    <x v="29"/>
    <x v="6"/>
    <x v="9"/>
    <x v="2"/>
  </r>
  <r>
    <s v="TX501716"/>
    <x v="2"/>
    <x v="1"/>
    <n v="118.5"/>
    <x v="1365"/>
    <x v="62"/>
    <d v="2025-03-07T00:00:00"/>
    <s v="M"/>
    <x v="1"/>
    <x v="2"/>
    <x v="0"/>
    <x v="16"/>
    <x v="2"/>
    <x v="9"/>
    <x v="1"/>
  </r>
  <r>
    <s v="TX501717"/>
    <x v="15"/>
    <x v="3"/>
    <n v="59.1"/>
    <x v="1366"/>
    <x v="62"/>
    <d v="2025-03-05T00:00:00"/>
    <s v="F"/>
    <x v="3"/>
    <x v="0"/>
    <x v="0"/>
    <x v="25"/>
    <x v="3"/>
    <x v="9"/>
    <x v="2"/>
  </r>
  <r>
    <s v="TX501718"/>
    <x v="4"/>
    <x v="0"/>
    <n v="21.2"/>
    <x v="333"/>
    <x v="62"/>
    <d v="2025-03-05T00:00:00"/>
    <s v="F"/>
    <x v="0"/>
    <x v="1"/>
    <x v="0"/>
    <x v="6"/>
    <x v="3"/>
    <x v="9"/>
    <x v="2"/>
  </r>
  <r>
    <s v="TX501719"/>
    <x v="6"/>
    <x v="1"/>
    <n v="68.8"/>
    <x v="1367"/>
    <x v="62"/>
    <d v="2025-03-09T00:00:00"/>
    <s v="F"/>
    <x v="3"/>
    <x v="2"/>
    <x v="0"/>
    <x v="6"/>
    <x v="0"/>
    <x v="9"/>
    <x v="2"/>
  </r>
  <r>
    <s v="TX501720"/>
    <x v="6"/>
    <x v="1"/>
    <n v="65.400000000000006"/>
    <x v="1272"/>
    <x v="62"/>
    <d v="2025-03-08T00:00:00"/>
    <s v="F"/>
    <x v="0"/>
    <x v="0"/>
    <x v="0"/>
    <x v="6"/>
    <x v="5"/>
    <x v="9"/>
    <x v="2"/>
  </r>
  <r>
    <s v="TX501721"/>
    <x v="12"/>
    <x v="9"/>
    <n v="66.3"/>
    <x v="1278"/>
    <x v="63"/>
    <d v="2025-03-08T00:00:00"/>
    <s v="F"/>
    <x v="4"/>
    <x v="0"/>
    <x v="0"/>
    <x v="6"/>
    <x v="2"/>
    <x v="9"/>
    <x v="2"/>
  </r>
  <r>
    <s v="TX501722"/>
    <x v="6"/>
    <x v="2"/>
    <n v="97.5"/>
    <x v="1368"/>
    <x v="63"/>
    <d v="2025-03-05T00:00:00"/>
    <s v="M"/>
    <x v="3"/>
    <x v="0"/>
    <x v="0"/>
    <x v="8"/>
    <x v="7"/>
    <x v="9"/>
    <x v="1"/>
  </r>
  <r>
    <s v="TX501723"/>
    <x v="1"/>
    <x v="1"/>
    <n v="44"/>
    <x v="1155"/>
    <x v="63"/>
    <d v="2025-03-08T00:00:00"/>
    <s v="F"/>
    <x v="1"/>
    <x v="2"/>
    <x v="0"/>
    <x v="8"/>
    <x v="2"/>
    <x v="9"/>
    <x v="2"/>
  </r>
  <r>
    <s v="TX501724"/>
    <x v="0"/>
    <x v="0"/>
    <n v="21.9"/>
    <x v="731"/>
    <x v="63"/>
    <d v="2025-03-06T00:00:00"/>
    <s v="M"/>
    <x v="0"/>
    <x v="0"/>
    <x v="0"/>
    <x v="8"/>
    <x v="3"/>
    <x v="9"/>
    <x v="1"/>
  </r>
  <r>
    <s v="TX501725"/>
    <x v="4"/>
    <x v="3"/>
    <n v="21.5"/>
    <x v="379"/>
    <x v="63"/>
    <d v="2025-03-07T00:00:00"/>
    <s v="F"/>
    <x v="1"/>
    <x v="2"/>
    <x v="0"/>
    <x v="9"/>
    <x v="1"/>
    <x v="9"/>
    <x v="2"/>
  </r>
  <r>
    <s v="TX501726"/>
    <x v="12"/>
    <x v="13"/>
    <n v="133"/>
    <x v="1369"/>
    <x v="63"/>
    <d v="2025-03-06T00:00:00"/>
    <s v="O"/>
    <x v="0"/>
    <x v="2"/>
    <x v="0"/>
    <x v="10"/>
    <x v="3"/>
    <x v="9"/>
    <x v="3"/>
  </r>
  <r>
    <s v="TX501727"/>
    <x v="8"/>
    <x v="1"/>
    <n v="47.7"/>
    <x v="233"/>
    <x v="63"/>
    <d v="2025-03-09T00:00:00"/>
    <s v="M"/>
    <x v="0"/>
    <x v="2"/>
    <x v="0"/>
    <x v="10"/>
    <x v="5"/>
    <x v="9"/>
    <x v="1"/>
  </r>
  <r>
    <s v="TX501728"/>
    <x v="16"/>
    <x v="2"/>
    <n v="58.1"/>
    <x v="889"/>
    <x v="63"/>
    <d v="2025-03-06T00:00:00"/>
    <s v="F"/>
    <x v="0"/>
    <x v="0"/>
    <x v="0"/>
    <x v="11"/>
    <x v="3"/>
    <x v="9"/>
    <x v="2"/>
  </r>
  <r>
    <s v="TX501729"/>
    <x v="12"/>
    <x v="12"/>
    <n v="66.599999999999994"/>
    <x v="1370"/>
    <x v="63"/>
    <d v="2025-03-06T00:00:00"/>
    <s v=""/>
    <x v="0"/>
    <x v="0"/>
    <x v="0"/>
    <x v="11"/>
    <x v="3"/>
    <x v="9"/>
    <x v="0"/>
  </r>
  <r>
    <s v="TX501730"/>
    <x v="9"/>
    <x v="0"/>
    <n v="24.1"/>
    <x v="1057"/>
    <x v="63"/>
    <d v="2025-03-08T00:00:00"/>
    <s v="M"/>
    <x v="2"/>
    <x v="1"/>
    <x v="0"/>
    <x v="19"/>
    <x v="2"/>
    <x v="9"/>
    <x v="1"/>
  </r>
  <r>
    <s v="TX501731"/>
    <x v="10"/>
    <x v="9"/>
    <n v="51.5"/>
    <x v="1371"/>
    <x v="63"/>
    <d v="2025-03-10T00:00:00"/>
    <s v="F"/>
    <x v="0"/>
    <x v="0"/>
    <x v="0"/>
    <x v="13"/>
    <x v="0"/>
    <x v="9"/>
    <x v="2"/>
  </r>
  <r>
    <s v="TX501732"/>
    <x v="0"/>
    <x v="5"/>
    <n v="25.8"/>
    <x v="674"/>
    <x v="63"/>
    <d v="2025-03-09T00:00:00"/>
    <s v="F"/>
    <x v="3"/>
    <x v="4"/>
    <x v="0"/>
    <x v="21"/>
    <x v="5"/>
    <x v="9"/>
    <x v="2"/>
  </r>
  <r>
    <s v="TX501733"/>
    <x v="9"/>
    <x v="12"/>
    <n v="47.7"/>
    <x v="1372"/>
    <x v="63"/>
    <d v="2025-03-05T00:00:00"/>
    <s v="F"/>
    <x v="0"/>
    <x v="1"/>
    <x v="0"/>
    <x v="21"/>
    <x v="7"/>
    <x v="9"/>
    <x v="2"/>
  </r>
  <r>
    <s v="TX501734"/>
    <x v="7"/>
    <x v="9"/>
    <n v="73.599999999999994"/>
    <x v="1373"/>
    <x v="63"/>
    <d v="2025-03-09T00:00:00"/>
    <s v="M"/>
    <x v="1"/>
    <x v="0"/>
    <x v="0"/>
    <x v="21"/>
    <x v="5"/>
    <x v="9"/>
    <x v="1"/>
  </r>
  <r>
    <s v="TX501735"/>
    <x v="5"/>
    <x v="3"/>
    <n v="91.2"/>
    <x v="1374"/>
    <x v="63"/>
    <d v="2025-03-06T00:00:00"/>
    <s v="M"/>
    <x v="1"/>
    <x v="2"/>
    <x v="0"/>
    <x v="21"/>
    <x v="3"/>
    <x v="9"/>
    <x v="1"/>
  </r>
  <r>
    <s v="TX501736"/>
    <x v="1"/>
    <x v="8"/>
    <n v="36.200000000000003"/>
    <x v="1375"/>
    <x v="63"/>
    <d v="2025-03-05T00:00:00"/>
    <s v="M"/>
    <x v="2"/>
    <x v="2"/>
    <x v="0"/>
    <x v="1"/>
    <x v="7"/>
    <x v="9"/>
    <x v="1"/>
  </r>
  <r>
    <s v="TX501737"/>
    <x v="9"/>
    <x v="8"/>
    <n v="98"/>
    <x v="1376"/>
    <x v="63"/>
    <d v="2025-03-09T00:00:00"/>
    <s v="F"/>
    <x v="2"/>
    <x v="0"/>
    <x v="0"/>
    <x v="2"/>
    <x v="5"/>
    <x v="9"/>
    <x v="2"/>
  </r>
  <r>
    <s v="TX501738"/>
    <x v="1"/>
    <x v="8"/>
    <n v="43.6"/>
    <x v="1377"/>
    <x v="63"/>
    <d v="2025-03-06T00:00:00"/>
    <s v="F"/>
    <x v="2"/>
    <x v="0"/>
    <x v="0"/>
    <x v="22"/>
    <x v="3"/>
    <x v="9"/>
    <x v="2"/>
  </r>
  <r>
    <s v="TX501739"/>
    <x v="8"/>
    <x v="7"/>
    <n v="37.799999999999997"/>
    <x v="1378"/>
    <x v="63"/>
    <d v="2025-03-05T00:00:00"/>
    <s v="O"/>
    <x v="0"/>
    <x v="0"/>
    <x v="0"/>
    <x v="50"/>
    <x v="7"/>
    <x v="9"/>
    <x v="3"/>
  </r>
  <r>
    <s v="TX501740"/>
    <x v="17"/>
    <x v="9"/>
    <n v="63.7"/>
    <x v="46"/>
    <x v="63"/>
    <d v="2025-03-08T00:00:00"/>
    <s v="F"/>
    <x v="2"/>
    <x v="1"/>
    <x v="0"/>
    <x v="3"/>
    <x v="2"/>
    <x v="9"/>
    <x v="2"/>
  </r>
  <r>
    <s v="TX501741"/>
    <x v="5"/>
    <x v="11"/>
    <n v="62.9"/>
    <x v="1379"/>
    <x v="63"/>
    <d v="2025-03-10T00:00:00"/>
    <s v="M"/>
    <x v="3"/>
    <x v="2"/>
    <x v="0"/>
    <x v="3"/>
    <x v="0"/>
    <x v="9"/>
    <x v="1"/>
  </r>
  <r>
    <s v="TX501742"/>
    <x v="6"/>
    <x v="3"/>
    <n v="61.7"/>
    <x v="245"/>
    <x v="63"/>
    <d v="2025-03-08T00:00:00"/>
    <s v="F"/>
    <x v="2"/>
    <x v="2"/>
    <x v="0"/>
    <x v="3"/>
    <x v="2"/>
    <x v="9"/>
    <x v="2"/>
  </r>
  <r>
    <s v="TX501743"/>
    <x v="18"/>
    <x v="21"/>
    <n v="36.5"/>
    <x v="1380"/>
    <x v="63"/>
    <d v="2025-03-06T00:00:00"/>
    <s v="M"/>
    <x v="0"/>
    <x v="2"/>
    <x v="0"/>
    <x v="3"/>
    <x v="3"/>
    <x v="9"/>
    <x v="1"/>
  </r>
  <r>
    <s v="TX501744"/>
    <x v="11"/>
    <x v="2"/>
    <n v="98.6"/>
    <x v="1381"/>
    <x v="63"/>
    <d v="2025-03-08T00:00:00"/>
    <s v="O"/>
    <x v="0"/>
    <x v="4"/>
    <x v="0"/>
    <x v="3"/>
    <x v="2"/>
    <x v="9"/>
    <x v="3"/>
  </r>
  <r>
    <s v="TX501745"/>
    <x v="8"/>
    <x v="1"/>
    <n v="19.2"/>
    <x v="1139"/>
    <x v="63"/>
    <d v="2025-03-15T00:00:00"/>
    <s v="M"/>
    <x v="0"/>
    <x v="0"/>
    <x v="0"/>
    <x v="3"/>
    <x v="14"/>
    <x v="9"/>
    <x v="1"/>
  </r>
  <r>
    <s v="TX501746"/>
    <x v="3"/>
    <x v="13"/>
    <n v="55.6"/>
    <x v="335"/>
    <x v="63"/>
    <d v="2025-03-09T00:00:00"/>
    <s v="F"/>
    <x v="0"/>
    <x v="2"/>
    <x v="0"/>
    <x v="3"/>
    <x v="5"/>
    <x v="9"/>
    <x v="2"/>
  </r>
  <r>
    <s v="TX501747"/>
    <x v="5"/>
    <x v="13"/>
    <n v="56.4"/>
    <x v="1382"/>
    <x v="63"/>
    <d v="2025-03-06T00:00:00"/>
    <s v="F"/>
    <x v="1"/>
    <x v="0"/>
    <x v="0"/>
    <x v="3"/>
    <x v="3"/>
    <x v="9"/>
    <x v="2"/>
  </r>
  <r>
    <s v="TX501748"/>
    <x v="4"/>
    <x v="8"/>
    <n v="43.1"/>
    <x v="1383"/>
    <x v="63"/>
    <d v="2025-03-09T00:00:00"/>
    <s v="F"/>
    <x v="4"/>
    <x v="0"/>
    <x v="0"/>
    <x v="3"/>
    <x v="5"/>
    <x v="9"/>
    <x v="2"/>
  </r>
  <r>
    <s v="TX501749"/>
    <x v="1"/>
    <x v="1"/>
    <n v="77.3"/>
    <x v="1384"/>
    <x v="63"/>
    <d v="2025-03-07T00:00:00"/>
    <s v="M"/>
    <x v="0"/>
    <x v="0"/>
    <x v="0"/>
    <x v="6"/>
    <x v="1"/>
    <x v="9"/>
    <x v="1"/>
  </r>
  <r>
    <s v="TX501750"/>
    <x v="9"/>
    <x v="8"/>
    <n v="38.299999999999997"/>
    <x v="1347"/>
    <x v="63"/>
    <d v="2025-03-06T00:00:00"/>
    <s v="M"/>
    <x v="0"/>
    <x v="0"/>
    <x v="0"/>
    <x v="7"/>
    <x v="3"/>
    <x v="9"/>
    <x v="1"/>
  </r>
  <r>
    <s v="TX501751"/>
    <x v="0"/>
    <x v="3"/>
    <n v="16.8"/>
    <x v="557"/>
    <x v="63"/>
    <d v="2025-03-08T00:00:00"/>
    <s v="M"/>
    <x v="2"/>
    <x v="1"/>
    <x v="0"/>
    <x v="8"/>
    <x v="2"/>
    <x v="9"/>
    <x v="1"/>
  </r>
  <r>
    <s v="TX501752"/>
    <x v="2"/>
    <x v="2"/>
    <n v="63.2"/>
    <x v="1385"/>
    <x v="63"/>
    <d v="2025-03-06T00:00:00"/>
    <s v="F"/>
    <x v="0"/>
    <x v="2"/>
    <x v="0"/>
    <x v="8"/>
    <x v="3"/>
    <x v="9"/>
    <x v="2"/>
  </r>
  <r>
    <s v="TX501753"/>
    <x v="14"/>
    <x v="44"/>
    <n v="39.700000000000003"/>
    <x v="1386"/>
    <x v="63"/>
    <d v="2025-03-06T00:00:00"/>
    <s v="M"/>
    <x v="0"/>
    <x v="0"/>
    <x v="0"/>
    <x v="8"/>
    <x v="3"/>
    <x v="9"/>
    <x v="1"/>
  </r>
  <r>
    <s v="TX501754"/>
    <x v="10"/>
    <x v="2"/>
    <n v="45.8"/>
    <x v="1387"/>
    <x v="63"/>
    <d v="2025-03-06T00:00:00"/>
    <s v="F"/>
    <x v="1"/>
    <x v="2"/>
    <x v="0"/>
    <x v="8"/>
    <x v="3"/>
    <x v="9"/>
    <x v="2"/>
  </r>
  <r>
    <s v="TX501755"/>
    <x v="0"/>
    <x v="13"/>
    <n v="12.4"/>
    <x v="610"/>
    <x v="63"/>
    <d v="2025-03-08T00:00:00"/>
    <s v="M"/>
    <x v="0"/>
    <x v="0"/>
    <x v="0"/>
    <x v="8"/>
    <x v="2"/>
    <x v="9"/>
    <x v="1"/>
  </r>
  <r>
    <s v="TX501756"/>
    <x v="14"/>
    <x v="2"/>
    <n v="50.8"/>
    <x v="1388"/>
    <x v="64"/>
    <d v="2025-03-06T00:00:00"/>
    <s v="F"/>
    <x v="4"/>
    <x v="0"/>
    <x v="0"/>
    <x v="17"/>
    <x v="7"/>
    <x v="9"/>
    <x v="2"/>
  </r>
  <r>
    <s v="TX501757"/>
    <x v="9"/>
    <x v="0"/>
    <n v="76"/>
    <x v="998"/>
    <x v="64"/>
    <d v="2025-03-10T00:00:00"/>
    <s v="O"/>
    <x v="2"/>
    <x v="2"/>
    <x v="0"/>
    <x v="17"/>
    <x v="5"/>
    <x v="9"/>
    <x v="3"/>
  </r>
  <r>
    <s v="TX501758"/>
    <x v="1"/>
    <x v="1"/>
    <n v="51.9"/>
    <x v="1389"/>
    <x v="64"/>
    <d v="2025-03-07T00:00:00"/>
    <s v="M"/>
    <x v="1"/>
    <x v="2"/>
    <x v="0"/>
    <x v="26"/>
    <x v="3"/>
    <x v="9"/>
    <x v="1"/>
  </r>
  <r>
    <s v="TX501759"/>
    <x v="2"/>
    <x v="1"/>
    <n v="93.4"/>
    <x v="1390"/>
    <x v="64"/>
    <d v="2025-03-13T00:00:00"/>
    <s v="M"/>
    <x v="0"/>
    <x v="3"/>
    <x v="0"/>
    <x v="11"/>
    <x v="6"/>
    <x v="9"/>
    <x v="1"/>
  </r>
  <r>
    <s v="TX501760"/>
    <x v="7"/>
    <x v="13"/>
    <n v="30.8"/>
    <x v="827"/>
    <x v="64"/>
    <d v="2025-03-09T00:00:00"/>
    <s v="F"/>
    <x v="1"/>
    <x v="0"/>
    <x v="0"/>
    <x v="11"/>
    <x v="2"/>
    <x v="9"/>
    <x v="2"/>
  </r>
  <r>
    <s v="TX501761"/>
    <x v="2"/>
    <x v="0"/>
    <n v="143.19999999999999"/>
    <x v="1391"/>
    <x v="64"/>
    <d v="2025-03-09T00:00:00"/>
    <s v="M"/>
    <x v="2"/>
    <x v="0"/>
    <x v="0"/>
    <x v="11"/>
    <x v="2"/>
    <x v="9"/>
    <x v="1"/>
  </r>
  <r>
    <s v="TX501762"/>
    <x v="6"/>
    <x v="5"/>
    <n v="40.4"/>
    <x v="1392"/>
    <x v="64"/>
    <d v="2025-03-08T00:00:00"/>
    <s v="M"/>
    <x v="2"/>
    <x v="2"/>
    <x v="0"/>
    <x v="18"/>
    <x v="1"/>
    <x v="9"/>
    <x v="1"/>
  </r>
  <r>
    <s v="TX501763"/>
    <x v="2"/>
    <x v="10"/>
    <n v="131.5"/>
    <x v="1393"/>
    <x v="64"/>
    <d v="2025-03-08T00:00:00"/>
    <s v="M"/>
    <x v="1"/>
    <x v="1"/>
    <x v="0"/>
    <x v="18"/>
    <x v="1"/>
    <x v="9"/>
    <x v="1"/>
  </r>
  <r>
    <s v="TX501764"/>
    <x v="18"/>
    <x v="3"/>
    <n v="61.6"/>
    <x v="348"/>
    <x v="64"/>
    <d v="2025-03-07T00:00:00"/>
    <s v="M"/>
    <x v="2"/>
    <x v="0"/>
    <x v="0"/>
    <x v="21"/>
    <x v="3"/>
    <x v="9"/>
    <x v="1"/>
  </r>
  <r>
    <s v="TX501765"/>
    <x v="9"/>
    <x v="9"/>
    <n v="32.700000000000003"/>
    <x v="838"/>
    <x v="64"/>
    <d v="2025-03-08T00:00:00"/>
    <s v="M"/>
    <x v="2"/>
    <x v="0"/>
    <x v="0"/>
    <x v="1"/>
    <x v="1"/>
    <x v="9"/>
    <x v="1"/>
  </r>
  <r>
    <s v="TX501766"/>
    <x v="0"/>
    <x v="7"/>
    <n v="13.7"/>
    <x v="383"/>
    <x v="64"/>
    <d v="2025-03-07T00:00:00"/>
    <s v="M"/>
    <x v="0"/>
    <x v="2"/>
    <x v="0"/>
    <x v="3"/>
    <x v="3"/>
    <x v="9"/>
    <x v="1"/>
  </r>
  <r>
    <s v="TX501767"/>
    <x v="0"/>
    <x v="12"/>
    <n v="32.1"/>
    <x v="58"/>
    <x v="64"/>
    <d v="2025-03-07T00:00:00"/>
    <s v="M"/>
    <x v="4"/>
    <x v="1"/>
    <x v="0"/>
    <x v="3"/>
    <x v="3"/>
    <x v="9"/>
    <x v="1"/>
  </r>
  <r>
    <s v="TX501768"/>
    <x v="14"/>
    <x v="8"/>
    <n v="12"/>
    <x v="854"/>
    <x v="64"/>
    <d v="2025-03-07T00:00:00"/>
    <s v="M"/>
    <x v="1"/>
    <x v="0"/>
    <x v="0"/>
    <x v="24"/>
    <x v="3"/>
    <x v="9"/>
    <x v="1"/>
  </r>
  <r>
    <s v="TX501769"/>
    <x v="12"/>
    <x v="0"/>
    <n v="64.3"/>
    <x v="1394"/>
    <x v="64"/>
    <d v="2025-03-08T00:00:00"/>
    <s v="F"/>
    <x v="2"/>
    <x v="2"/>
    <x v="0"/>
    <x v="6"/>
    <x v="1"/>
    <x v="9"/>
    <x v="2"/>
  </r>
  <r>
    <s v="TX501770"/>
    <x v="1"/>
    <x v="2"/>
    <n v="58.2"/>
    <x v="1395"/>
    <x v="64"/>
    <d v="2025-03-08T00:00:00"/>
    <s v="F"/>
    <x v="1"/>
    <x v="2"/>
    <x v="0"/>
    <x v="6"/>
    <x v="1"/>
    <x v="9"/>
    <x v="2"/>
  </r>
  <r>
    <s v="TX501771"/>
    <x v="6"/>
    <x v="12"/>
    <n v="59.2"/>
    <x v="1396"/>
    <x v="64"/>
    <d v="2025-03-06T00:00:00"/>
    <s v="M"/>
    <x v="1"/>
    <x v="2"/>
    <x v="0"/>
    <x v="6"/>
    <x v="7"/>
    <x v="9"/>
    <x v="1"/>
  </r>
  <r>
    <s v="TX501772"/>
    <x v="10"/>
    <x v="5"/>
    <n v="35.6"/>
    <x v="590"/>
    <x v="64"/>
    <d v="2025-03-13T00:00:00"/>
    <s v="M"/>
    <x v="0"/>
    <x v="2"/>
    <x v="0"/>
    <x v="8"/>
    <x v="6"/>
    <x v="9"/>
    <x v="1"/>
  </r>
  <r>
    <s v="TX501773"/>
    <x v="16"/>
    <x v="8"/>
    <n v="37"/>
    <x v="1397"/>
    <x v="64"/>
    <d v="2025-03-10T00:00:00"/>
    <s v="F"/>
    <x v="2"/>
    <x v="1"/>
    <x v="0"/>
    <x v="8"/>
    <x v="5"/>
    <x v="9"/>
    <x v="2"/>
  </r>
  <r>
    <s v="TX501774"/>
    <x v="1"/>
    <x v="15"/>
    <n v="80.8"/>
    <x v="1398"/>
    <x v="64"/>
    <d v="2025-03-08T00:00:00"/>
    <s v="F"/>
    <x v="0"/>
    <x v="0"/>
    <x v="0"/>
    <x v="8"/>
    <x v="1"/>
    <x v="9"/>
    <x v="2"/>
  </r>
  <r>
    <s v="TX501775"/>
    <x v="8"/>
    <x v="1"/>
    <n v="63.2"/>
    <x v="628"/>
    <x v="64"/>
    <d v="2025-03-07T00:00:00"/>
    <s v="M"/>
    <x v="0"/>
    <x v="1"/>
    <x v="0"/>
    <x v="8"/>
    <x v="3"/>
    <x v="9"/>
    <x v="1"/>
  </r>
  <r>
    <s v="TX501776"/>
    <x v="3"/>
    <x v="1"/>
    <n v="40.799999999999997"/>
    <x v="330"/>
    <x v="64"/>
    <d v="2025-03-08T00:00:00"/>
    <s v="M"/>
    <x v="0"/>
    <x v="1"/>
    <x v="0"/>
    <x v="17"/>
    <x v="1"/>
    <x v="9"/>
    <x v="1"/>
  </r>
  <r>
    <s v="TX501777"/>
    <x v="13"/>
    <x v="13"/>
    <n v="25.7"/>
    <x v="1399"/>
    <x v="64"/>
    <d v="2025-03-08T00:00:00"/>
    <s v="M"/>
    <x v="4"/>
    <x v="0"/>
    <x v="0"/>
    <x v="18"/>
    <x v="1"/>
    <x v="9"/>
    <x v="1"/>
  </r>
  <r>
    <s v="TX501778"/>
    <x v="16"/>
    <x v="1"/>
    <n v="49.9"/>
    <x v="350"/>
    <x v="64"/>
    <d v="2025-03-09T00:00:00"/>
    <s v="M"/>
    <x v="0"/>
    <x v="0"/>
    <x v="0"/>
    <x v="20"/>
    <x v="2"/>
    <x v="9"/>
    <x v="1"/>
  </r>
  <r>
    <s v="TX501779"/>
    <x v="8"/>
    <x v="1"/>
    <n v="20.2"/>
    <x v="1400"/>
    <x v="64"/>
    <d v="2025-03-08T00:00:00"/>
    <s v="F"/>
    <x v="3"/>
    <x v="0"/>
    <x v="0"/>
    <x v="21"/>
    <x v="1"/>
    <x v="9"/>
    <x v="2"/>
  </r>
  <r>
    <s v="TX501780"/>
    <x v="6"/>
    <x v="2"/>
    <n v="48.4"/>
    <x v="1401"/>
    <x v="64"/>
    <d v="2025-03-11T00:00:00"/>
    <s v="F"/>
    <x v="0"/>
    <x v="2"/>
    <x v="0"/>
    <x v="21"/>
    <x v="0"/>
    <x v="9"/>
    <x v="2"/>
  </r>
  <r>
    <s v="TX501781"/>
    <x v="6"/>
    <x v="1"/>
    <n v="81"/>
    <x v="915"/>
    <x v="64"/>
    <d v="2025-03-07T00:00:00"/>
    <s v="F"/>
    <x v="1"/>
    <x v="2"/>
    <x v="0"/>
    <x v="21"/>
    <x v="3"/>
    <x v="9"/>
    <x v="2"/>
  </r>
  <r>
    <s v="TX501782"/>
    <x v="8"/>
    <x v="13"/>
    <n v="19.899999999999999"/>
    <x v="1402"/>
    <x v="64"/>
    <d v="2025-03-09T00:00:00"/>
    <s v="F"/>
    <x v="0"/>
    <x v="1"/>
    <x v="0"/>
    <x v="22"/>
    <x v="2"/>
    <x v="9"/>
    <x v="2"/>
  </r>
  <r>
    <s v="TX501783"/>
    <x v="4"/>
    <x v="12"/>
    <n v="32.200000000000003"/>
    <x v="1403"/>
    <x v="64"/>
    <d v="2025-03-16T00:00:00"/>
    <s v="M"/>
    <x v="0"/>
    <x v="0"/>
    <x v="0"/>
    <x v="22"/>
    <x v="14"/>
    <x v="9"/>
    <x v="1"/>
  </r>
  <r>
    <s v="TX501784"/>
    <x v="5"/>
    <x v="2"/>
    <n v="76.8"/>
    <x v="1404"/>
    <x v="64"/>
    <d v="2025-03-07T00:00:00"/>
    <s v="F"/>
    <x v="0"/>
    <x v="1"/>
    <x v="0"/>
    <x v="3"/>
    <x v="3"/>
    <x v="9"/>
    <x v="2"/>
  </r>
  <r>
    <s v="TX501785"/>
    <x v="6"/>
    <x v="1"/>
    <n v="41.9"/>
    <x v="1405"/>
    <x v="64"/>
    <d v="2025-03-08T00:00:00"/>
    <s v="F"/>
    <x v="0"/>
    <x v="0"/>
    <x v="0"/>
    <x v="3"/>
    <x v="1"/>
    <x v="9"/>
    <x v="2"/>
  </r>
  <r>
    <s v="TX501786"/>
    <x v="0"/>
    <x v="3"/>
    <n v="34"/>
    <x v="1248"/>
    <x v="64"/>
    <d v="2025-03-08T00:00:00"/>
    <s v="F"/>
    <x v="1"/>
    <x v="2"/>
    <x v="0"/>
    <x v="3"/>
    <x v="1"/>
    <x v="9"/>
    <x v="2"/>
  </r>
  <r>
    <s v="TX501787"/>
    <x v="7"/>
    <x v="3"/>
    <n v="61.3"/>
    <x v="1406"/>
    <x v="64"/>
    <d v="2025-03-06T00:00:00"/>
    <s v="F"/>
    <x v="4"/>
    <x v="2"/>
    <x v="0"/>
    <x v="3"/>
    <x v="7"/>
    <x v="9"/>
    <x v="2"/>
  </r>
  <r>
    <s v="TX501788"/>
    <x v="9"/>
    <x v="0"/>
    <n v="54.7"/>
    <x v="1407"/>
    <x v="65"/>
    <d v="2025-03-08T00:00:00"/>
    <s v="M"/>
    <x v="0"/>
    <x v="1"/>
    <x v="0"/>
    <x v="3"/>
    <x v="3"/>
    <x v="9"/>
    <x v="1"/>
  </r>
  <r>
    <s v="TX501789"/>
    <x v="6"/>
    <x v="7"/>
    <n v="84.7"/>
    <x v="1408"/>
    <x v="65"/>
    <d v="2025-03-11T00:00:00"/>
    <s v="F"/>
    <x v="0"/>
    <x v="0"/>
    <x v="0"/>
    <x v="3"/>
    <x v="5"/>
    <x v="9"/>
    <x v="2"/>
  </r>
  <r>
    <s v="TX501790"/>
    <x v="1"/>
    <x v="2"/>
    <n v="93.4"/>
    <x v="1409"/>
    <x v="65"/>
    <d v="2025-03-11T00:00:00"/>
    <s v="F"/>
    <x v="3"/>
    <x v="0"/>
    <x v="0"/>
    <x v="3"/>
    <x v="5"/>
    <x v="9"/>
    <x v="2"/>
  </r>
  <r>
    <s v="TX501791"/>
    <x v="8"/>
    <x v="9"/>
    <n v="27"/>
    <x v="340"/>
    <x v="65"/>
    <d v="2025-03-10T00:00:00"/>
    <s v="M"/>
    <x v="0"/>
    <x v="1"/>
    <x v="0"/>
    <x v="3"/>
    <x v="2"/>
    <x v="9"/>
    <x v="1"/>
  </r>
  <r>
    <s v="TX501792"/>
    <x v="0"/>
    <x v="12"/>
    <n v="10.9"/>
    <x v="1195"/>
    <x v="65"/>
    <d v="2025-03-08T00:00:00"/>
    <s v="M"/>
    <x v="2"/>
    <x v="0"/>
    <x v="0"/>
    <x v="3"/>
    <x v="3"/>
    <x v="9"/>
    <x v="1"/>
  </r>
  <r>
    <s v="TX501793"/>
    <x v="16"/>
    <x v="2"/>
    <n v="48"/>
    <x v="1410"/>
    <x v="65"/>
    <d v="2025-03-12T00:00:00"/>
    <s v="F"/>
    <x v="4"/>
    <x v="0"/>
    <x v="0"/>
    <x v="3"/>
    <x v="0"/>
    <x v="9"/>
    <x v="2"/>
  </r>
  <r>
    <s v="TX501794"/>
    <x v="5"/>
    <x v="1"/>
    <n v="67.900000000000006"/>
    <x v="1411"/>
    <x v="65"/>
    <d v="2025-03-08T00:00:00"/>
    <s v="M"/>
    <x v="0"/>
    <x v="2"/>
    <x v="0"/>
    <x v="23"/>
    <x v="3"/>
    <x v="9"/>
    <x v="1"/>
  </r>
  <r>
    <s v="TX501795"/>
    <x v="4"/>
    <x v="2"/>
    <n v="36"/>
    <x v="807"/>
    <x v="65"/>
    <d v="2025-03-08T00:00:00"/>
    <s v="M"/>
    <x v="1"/>
    <x v="0"/>
    <x v="0"/>
    <x v="6"/>
    <x v="3"/>
    <x v="9"/>
    <x v="1"/>
  </r>
  <r>
    <s v="TX501796"/>
    <x v="2"/>
    <x v="0"/>
    <n v="128.80000000000001"/>
    <x v="1403"/>
    <x v="65"/>
    <d v="2025-03-08T00:00:00"/>
    <s v="M"/>
    <x v="4"/>
    <x v="2"/>
    <x v="0"/>
    <x v="6"/>
    <x v="3"/>
    <x v="9"/>
    <x v="1"/>
  </r>
  <r>
    <s v="TX501797"/>
    <x v="18"/>
    <x v="3"/>
    <n v="33.299999999999997"/>
    <x v="1412"/>
    <x v="65"/>
    <d v="2025-03-08T00:00:00"/>
    <s v="F"/>
    <x v="3"/>
    <x v="0"/>
    <x v="0"/>
    <x v="8"/>
    <x v="3"/>
    <x v="9"/>
    <x v="2"/>
  </r>
  <r>
    <s v="TX501798"/>
    <x v="10"/>
    <x v="2"/>
    <n v="37.799999999999997"/>
    <x v="1413"/>
    <x v="65"/>
    <d v="2025-03-09T00:00:00"/>
    <s v="M"/>
    <x v="1"/>
    <x v="2"/>
    <x v="0"/>
    <x v="8"/>
    <x v="1"/>
    <x v="9"/>
    <x v="1"/>
  </r>
  <r>
    <s v="TX501799"/>
    <x v="5"/>
    <x v="2"/>
    <n v="26"/>
    <x v="292"/>
    <x v="65"/>
    <d v="2025-03-12T00:00:00"/>
    <s v="F"/>
    <x v="0"/>
    <x v="0"/>
    <x v="0"/>
    <x v="8"/>
    <x v="0"/>
    <x v="9"/>
    <x v="2"/>
  </r>
  <r>
    <s v="TX501800"/>
    <x v="8"/>
    <x v="10"/>
    <n v="28.3"/>
    <x v="1414"/>
    <x v="65"/>
    <d v="2025-03-08T00:00:00"/>
    <s v="F"/>
    <x v="3"/>
    <x v="4"/>
    <x v="0"/>
    <x v="8"/>
    <x v="3"/>
    <x v="9"/>
    <x v="2"/>
  </r>
  <r>
    <s v="TX501801"/>
    <x v="8"/>
    <x v="12"/>
    <n v="31.3"/>
    <x v="1415"/>
    <x v="65"/>
    <d v="2025-03-07T00:00:00"/>
    <s v="F"/>
    <x v="0"/>
    <x v="0"/>
    <x v="0"/>
    <x v="8"/>
    <x v="7"/>
    <x v="9"/>
    <x v="2"/>
  </r>
  <r>
    <s v="TX501802"/>
    <x v="7"/>
    <x v="2"/>
    <n v="69.5"/>
    <x v="1416"/>
    <x v="65"/>
    <d v="2025-03-08T00:00:00"/>
    <s v="F"/>
    <x v="3"/>
    <x v="2"/>
    <x v="0"/>
    <x v="8"/>
    <x v="3"/>
    <x v="9"/>
    <x v="2"/>
  </r>
  <r>
    <s v="TX501803"/>
    <x v="0"/>
    <x v="1"/>
    <n v="16.7"/>
    <x v="1417"/>
    <x v="65"/>
    <d v="2025-03-08T00:00:00"/>
    <s v="F"/>
    <x v="3"/>
    <x v="1"/>
    <x v="0"/>
    <x v="8"/>
    <x v="3"/>
    <x v="9"/>
    <x v="2"/>
  </r>
  <r>
    <s v="TX501804"/>
    <x v="9"/>
    <x v="1"/>
    <n v="62.6"/>
    <x v="1415"/>
    <x v="65"/>
    <d v="2025-03-08T00:00:00"/>
    <s v="M"/>
    <x v="2"/>
    <x v="2"/>
    <x v="0"/>
    <x v="9"/>
    <x v="3"/>
    <x v="9"/>
    <x v="1"/>
  </r>
  <r>
    <s v="TX501805"/>
    <x v="7"/>
    <x v="0"/>
    <n v="81.2"/>
    <x v="1101"/>
    <x v="65"/>
    <d v="2025-03-13T00:00:00"/>
    <s v="M"/>
    <x v="4"/>
    <x v="4"/>
    <x v="0"/>
    <x v="9"/>
    <x v="4"/>
    <x v="9"/>
    <x v="1"/>
  </r>
  <r>
    <s v="TX501806"/>
    <x v="0"/>
    <x v="7"/>
    <n v="12.7"/>
    <x v="520"/>
    <x v="65"/>
    <d v="2025-03-08T00:00:00"/>
    <s v="F"/>
    <x v="0"/>
    <x v="2"/>
    <x v="0"/>
    <x v="9"/>
    <x v="3"/>
    <x v="9"/>
    <x v="2"/>
  </r>
  <r>
    <s v="TX501807"/>
    <x v="7"/>
    <x v="12"/>
    <n v="77.7"/>
    <x v="1418"/>
    <x v="66"/>
    <d v="2025-03-12T00:00:00"/>
    <s v="M"/>
    <x v="1"/>
    <x v="0"/>
    <x v="0"/>
    <x v="11"/>
    <x v="5"/>
    <x v="9"/>
    <x v="1"/>
  </r>
  <r>
    <s v="TX501808"/>
    <x v="5"/>
    <x v="1"/>
    <n v="37.299999999999997"/>
    <x v="110"/>
    <x v="66"/>
    <d v="2025-03-09T00:00:00"/>
    <s v="F"/>
    <x v="0"/>
    <x v="2"/>
    <x v="0"/>
    <x v="18"/>
    <x v="3"/>
    <x v="9"/>
    <x v="2"/>
  </r>
  <r>
    <s v="TX501809"/>
    <x v="10"/>
    <x v="12"/>
    <n v="35.6"/>
    <x v="1419"/>
    <x v="66"/>
    <d v="2025-03-10T00:00:00"/>
    <s v="F"/>
    <x v="1"/>
    <x v="1"/>
    <x v="0"/>
    <x v="19"/>
    <x v="1"/>
    <x v="9"/>
    <x v="2"/>
  </r>
  <r>
    <s v="TX501810"/>
    <x v="2"/>
    <x v="2"/>
    <n v="95"/>
    <x v="1420"/>
    <x v="66"/>
    <d v="2025-03-12T00:00:00"/>
    <s v="F"/>
    <x v="2"/>
    <x v="2"/>
    <x v="0"/>
    <x v="56"/>
    <x v="5"/>
    <x v="9"/>
    <x v="2"/>
  </r>
  <r>
    <s v="TX501811"/>
    <x v="2"/>
    <x v="12"/>
    <n v="172.1"/>
    <x v="1421"/>
    <x v="66"/>
    <d v="2025-03-12T00:00:00"/>
    <s v="O"/>
    <x v="2"/>
    <x v="2"/>
    <x v="0"/>
    <x v="21"/>
    <x v="5"/>
    <x v="9"/>
    <x v="3"/>
  </r>
  <r>
    <s v="TX501812"/>
    <x v="2"/>
    <x v="1"/>
    <n v="233"/>
    <x v="1147"/>
    <x v="66"/>
    <d v="2025-03-11T00:00:00"/>
    <s v="F"/>
    <x v="1"/>
    <x v="0"/>
    <x v="0"/>
    <x v="21"/>
    <x v="2"/>
    <x v="9"/>
    <x v="2"/>
  </r>
  <r>
    <s v="TX501813"/>
    <x v="0"/>
    <x v="0"/>
    <n v="43.5"/>
    <x v="1422"/>
    <x v="66"/>
    <d v="2025-03-09T00:00:00"/>
    <s v="F"/>
    <x v="2"/>
    <x v="2"/>
    <x v="0"/>
    <x v="21"/>
    <x v="3"/>
    <x v="9"/>
    <x v="2"/>
  </r>
  <r>
    <s v="TX501814"/>
    <x v="9"/>
    <x v="1"/>
    <n v="47.8"/>
    <x v="139"/>
    <x v="66"/>
    <d v="2025-03-11T00:00:00"/>
    <s v="M"/>
    <x v="4"/>
    <x v="2"/>
    <x v="0"/>
    <x v="1"/>
    <x v="2"/>
    <x v="9"/>
    <x v="1"/>
  </r>
  <r>
    <s v="TX501815"/>
    <x v="12"/>
    <x v="1"/>
    <n v="65.8"/>
    <x v="1423"/>
    <x v="66"/>
    <d v="2025-03-10T00:00:00"/>
    <s v="F"/>
    <x v="0"/>
    <x v="3"/>
    <x v="0"/>
    <x v="33"/>
    <x v="1"/>
    <x v="9"/>
    <x v="2"/>
  </r>
  <r>
    <s v="TX501816"/>
    <x v="15"/>
    <x v="5"/>
    <n v="38.700000000000003"/>
    <x v="1424"/>
    <x v="66"/>
    <d v="2025-03-08T00:00:00"/>
    <s v="M"/>
    <x v="0"/>
    <x v="0"/>
    <x v="0"/>
    <x v="22"/>
    <x v="7"/>
    <x v="9"/>
    <x v="1"/>
  </r>
  <r>
    <s v="TX501817"/>
    <x v="3"/>
    <x v="12"/>
    <n v="55.7"/>
    <x v="839"/>
    <x v="66"/>
    <d v="2025-03-10T00:00:00"/>
    <s v="O"/>
    <x v="0"/>
    <x v="1"/>
    <x v="0"/>
    <x v="22"/>
    <x v="1"/>
    <x v="9"/>
    <x v="3"/>
  </r>
  <r>
    <s v="TX501818"/>
    <x v="7"/>
    <x v="1"/>
    <n v="102.4"/>
    <x v="403"/>
    <x v="66"/>
    <d v="2025-03-08T00:00:00"/>
    <s v="F"/>
    <x v="1"/>
    <x v="0"/>
    <x v="0"/>
    <x v="3"/>
    <x v="7"/>
    <x v="9"/>
    <x v="2"/>
  </r>
  <r>
    <s v="TX501819"/>
    <x v="1"/>
    <x v="0"/>
    <n v="92"/>
    <x v="988"/>
    <x v="66"/>
    <d v="2025-03-12T00:00:00"/>
    <s v=""/>
    <x v="2"/>
    <x v="0"/>
    <x v="0"/>
    <x v="3"/>
    <x v="5"/>
    <x v="9"/>
    <x v="0"/>
  </r>
  <r>
    <s v="TX501820"/>
    <x v="6"/>
    <x v="12"/>
    <n v="75.900000000000006"/>
    <x v="80"/>
    <x v="66"/>
    <d v="2025-03-10T00:00:00"/>
    <s v="F"/>
    <x v="1"/>
    <x v="0"/>
    <x v="0"/>
    <x v="3"/>
    <x v="1"/>
    <x v="9"/>
    <x v="2"/>
  </r>
  <r>
    <s v="TX501821"/>
    <x v="1"/>
    <x v="12"/>
    <n v="36.200000000000003"/>
    <x v="353"/>
    <x v="66"/>
    <d v="2025-03-09T00:00:00"/>
    <s v="F"/>
    <x v="1"/>
    <x v="0"/>
    <x v="0"/>
    <x v="3"/>
    <x v="3"/>
    <x v="9"/>
    <x v="2"/>
  </r>
  <r>
    <s v="TX501822"/>
    <x v="6"/>
    <x v="45"/>
    <n v="83.5"/>
    <x v="1425"/>
    <x v="66"/>
    <d v="2025-03-10T00:00:00"/>
    <s v=""/>
    <x v="3"/>
    <x v="0"/>
    <x v="0"/>
    <x v="3"/>
    <x v="1"/>
    <x v="9"/>
    <x v="0"/>
  </r>
  <r>
    <s v="TX501823"/>
    <x v="19"/>
    <x v="4"/>
    <n v="52.4"/>
    <x v="1092"/>
    <x v="66"/>
    <d v="2025-03-08T00:00:00"/>
    <s v="M"/>
    <x v="2"/>
    <x v="0"/>
    <x v="0"/>
    <x v="3"/>
    <x v="7"/>
    <x v="9"/>
    <x v="1"/>
  </r>
  <r>
    <s v="TX501824"/>
    <x v="12"/>
    <x v="2"/>
    <n v="69.5"/>
    <x v="1416"/>
    <x v="66"/>
    <d v="2025-03-09T00:00:00"/>
    <s v="O"/>
    <x v="4"/>
    <x v="0"/>
    <x v="0"/>
    <x v="3"/>
    <x v="3"/>
    <x v="9"/>
    <x v="3"/>
  </r>
  <r>
    <s v="TX501825"/>
    <x v="0"/>
    <x v="0"/>
    <n v="15.5"/>
    <x v="1426"/>
    <x v="66"/>
    <d v="2025-03-10T00:00:00"/>
    <s v="M"/>
    <x v="0"/>
    <x v="0"/>
    <x v="0"/>
    <x v="3"/>
    <x v="1"/>
    <x v="9"/>
    <x v="1"/>
  </r>
  <r>
    <s v="TX501826"/>
    <x v="4"/>
    <x v="12"/>
    <n v="35.200000000000003"/>
    <x v="1427"/>
    <x v="66"/>
    <d v="2025-03-09T00:00:00"/>
    <s v="F"/>
    <x v="2"/>
    <x v="2"/>
    <x v="0"/>
    <x v="3"/>
    <x v="3"/>
    <x v="9"/>
    <x v="2"/>
  </r>
  <r>
    <s v="TX501827"/>
    <x v="8"/>
    <x v="13"/>
    <n v="34.6"/>
    <x v="1428"/>
    <x v="66"/>
    <d v="2025-03-09T00:00:00"/>
    <s v=""/>
    <x v="0"/>
    <x v="1"/>
    <x v="0"/>
    <x v="3"/>
    <x v="3"/>
    <x v="9"/>
    <x v="0"/>
  </r>
  <r>
    <s v="TX501828"/>
    <x v="4"/>
    <x v="0"/>
    <n v="21.3"/>
    <x v="1429"/>
    <x v="67"/>
    <d v="2025-03-10T00:00:00"/>
    <s v="M"/>
    <x v="2"/>
    <x v="1"/>
    <x v="0"/>
    <x v="3"/>
    <x v="3"/>
    <x v="10"/>
    <x v="1"/>
  </r>
  <r>
    <s v="TX501829"/>
    <x v="6"/>
    <x v="1"/>
    <n v="136.5"/>
    <x v="1430"/>
    <x v="67"/>
    <d v="2025-03-15T00:00:00"/>
    <s v="F"/>
    <x v="0"/>
    <x v="0"/>
    <x v="0"/>
    <x v="37"/>
    <x v="4"/>
    <x v="10"/>
    <x v="2"/>
  </r>
  <r>
    <s v="TX501830"/>
    <x v="9"/>
    <x v="3"/>
    <n v="30.7"/>
    <x v="1431"/>
    <x v="67"/>
    <d v="2025-03-10T00:00:00"/>
    <s v="M"/>
    <x v="2"/>
    <x v="2"/>
    <x v="0"/>
    <x v="25"/>
    <x v="3"/>
    <x v="10"/>
    <x v="1"/>
  </r>
  <r>
    <s v="TX501831"/>
    <x v="1"/>
    <x v="1"/>
    <n v="61.6"/>
    <x v="1432"/>
    <x v="67"/>
    <d v="2025-03-10T00:00:00"/>
    <s v="F"/>
    <x v="2"/>
    <x v="2"/>
    <x v="0"/>
    <x v="23"/>
    <x v="3"/>
    <x v="10"/>
    <x v="2"/>
  </r>
  <r>
    <s v="TX501832"/>
    <x v="6"/>
    <x v="12"/>
    <n v="54.3"/>
    <x v="1433"/>
    <x v="67"/>
    <d v="2025-03-11T00:00:00"/>
    <s v=""/>
    <x v="4"/>
    <x v="0"/>
    <x v="0"/>
    <x v="7"/>
    <x v="1"/>
    <x v="10"/>
    <x v="0"/>
  </r>
  <r>
    <s v="TX501833"/>
    <x v="1"/>
    <x v="1"/>
    <n v="44.1"/>
    <x v="1047"/>
    <x v="67"/>
    <d v="2025-03-21T00:00:00"/>
    <s v="F"/>
    <x v="0"/>
    <x v="2"/>
    <x v="0"/>
    <x v="8"/>
    <x v="13"/>
    <x v="10"/>
    <x v="2"/>
  </r>
  <r>
    <s v="TX501834"/>
    <x v="8"/>
    <x v="12"/>
    <n v="43.5"/>
    <x v="1434"/>
    <x v="67"/>
    <d v="2025-03-15T00:00:00"/>
    <s v="M"/>
    <x v="3"/>
    <x v="0"/>
    <x v="0"/>
    <x v="8"/>
    <x v="4"/>
    <x v="10"/>
    <x v="1"/>
  </r>
  <r>
    <s v="TX501835"/>
    <x v="8"/>
    <x v="2"/>
    <n v="48.2"/>
    <x v="1435"/>
    <x v="67"/>
    <d v="2025-03-13T00:00:00"/>
    <s v="M"/>
    <x v="3"/>
    <x v="1"/>
    <x v="0"/>
    <x v="8"/>
    <x v="5"/>
    <x v="10"/>
    <x v="1"/>
  </r>
  <r>
    <s v="TX501836"/>
    <x v="19"/>
    <x v="0"/>
    <n v="13.7"/>
    <x v="1436"/>
    <x v="67"/>
    <d v="2025-03-10T00:00:00"/>
    <s v="F"/>
    <x v="2"/>
    <x v="2"/>
    <x v="0"/>
    <x v="8"/>
    <x v="3"/>
    <x v="10"/>
    <x v="2"/>
  </r>
  <r>
    <s v="TX501837"/>
    <x v="2"/>
    <x v="1"/>
    <n v="110.5"/>
    <x v="1437"/>
    <x v="67"/>
    <d v="2025-03-10T00:00:00"/>
    <s v="F"/>
    <x v="0"/>
    <x v="1"/>
    <x v="0"/>
    <x v="8"/>
    <x v="3"/>
    <x v="10"/>
    <x v="2"/>
  </r>
  <r>
    <s v="TX501838"/>
    <x v="8"/>
    <x v="2"/>
    <n v="26"/>
    <x v="292"/>
    <x v="67"/>
    <d v="2025-03-14T00:00:00"/>
    <s v="F"/>
    <x v="1"/>
    <x v="1"/>
    <x v="0"/>
    <x v="8"/>
    <x v="0"/>
    <x v="10"/>
    <x v="2"/>
  </r>
  <r>
    <s v="TX501839"/>
    <x v="2"/>
    <x v="7"/>
    <n v="140.69999999999999"/>
    <x v="1438"/>
    <x v="67"/>
    <d v="2025-03-15T00:00:00"/>
    <s v="M"/>
    <x v="3"/>
    <x v="1"/>
    <x v="0"/>
    <x v="8"/>
    <x v="4"/>
    <x v="10"/>
    <x v="1"/>
  </r>
  <r>
    <s v="TX501840"/>
    <x v="17"/>
    <x v="1"/>
    <n v="41.7"/>
    <x v="925"/>
    <x v="67"/>
    <d v="2025-03-17T00:00:00"/>
    <s v="F"/>
    <x v="0"/>
    <x v="4"/>
    <x v="0"/>
    <x v="8"/>
    <x v="9"/>
    <x v="10"/>
    <x v="2"/>
  </r>
  <r>
    <s v="TX501841"/>
    <x v="2"/>
    <x v="1"/>
    <n v="135.1"/>
    <x v="1439"/>
    <x v="67"/>
    <d v="2025-03-10T00:00:00"/>
    <s v="M"/>
    <x v="0"/>
    <x v="2"/>
    <x v="0"/>
    <x v="17"/>
    <x v="3"/>
    <x v="10"/>
    <x v="1"/>
  </r>
  <r>
    <s v="TX501842"/>
    <x v="12"/>
    <x v="32"/>
    <n v="95.5"/>
    <x v="1440"/>
    <x v="67"/>
    <d v="2025-03-10T00:00:00"/>
    <s v="F"/>
    <x v="4"/>
    <x v="4"/>
    <x v="0"/>
    <x v="26"/>
    <x v="3"/>
    <x v="10"/>
    <x v="2"/>
  </r>
  <r>
    <s v="TX501843"/>
    <x v="15"/>
    <x v="0"/>
    <n v="25.5"/>
    <x v="1441"/>
    <x v="67"/>
    <d v="2025-03-12T00:00:00"/>
    <s v=""/>
    <x v="2"/>
    <x v="2"/>
    <x v="0"/>
    <x v="11"/>
    <x v="2"/>
    <x v="10"/>
    <x v="0"/>
  </r>
  <r>
    <s v="TX501844"/>
    <x v="1"/>
    <x v="0"/>
    <n v="42.6"/>
    <x v="440"/>
    <x v="67"/>
    <d v="2025-03-13T00:00:00"/>
    <s v="F"/>
    <x v="0"/>
    <x v="0"/>
    <x v="0"/>
    <x v="11"/>
    <x v="5"/>
    <x v="10"/>
    <x v="2"/>
  </r>
  <r>
    <s v="TX501845"/>
    <x v="8"/>
    <x v="20"/>
    <n v="32.4"/>
    <x v="1442"/>
    <x v="67"/>
    <d v="2025-03-10T00:00:00"/>
    <s v="M"/>
    <x v="1"/>
    <x v="1"/>
    <x v="0"/>
    <x v="11"/>
    <x v="3"/>
    <x v="10"/>
    <x v="1"/>
  </r>
  <r>
    <s v="TX501846"/>
    <x v="4"/>
    <x v="12"/>
    <n v="20.2"/>
    <x v="1443"/>
    <x v="67"/>
    <d v="2025-03-10T00:00:00"/>
    <s v="O"/>
    <x v="2"/>
    <x v="0"/>
    <x v="0"/>
    <x v="11"/>
    <x v="3"/>
    <x v="10"/>
    <x v="3"/>
  </r>
  <r>
    <s v="TX501847"/>
    <x v="16"/>
    <x v="2"/>
    <n v="52.5"/>
    <x v="905"/>
    <x v="67"/>
    <d v="2025-03-14T00:00:00"/>
    <s v="F"/>
    <x v="4"/>
    <x v="0"/>
    <x v="0"/>
    <x v="18"/>
    <x v="0"/>
    <x v="10"/>
    <x v="2"/>
  </r>
  <r>
    <s v="TX501848"/>
    <x v="2"/>
    <x v="9"/>
    <n v="59.9"/>
    <x v="1444"/>
    <x v="67"/>
    <d v="2025-03-11T00:00:00"/>
    <s v="F"/>
    <x v="2"/>
    <x v="0"/>
    <x v="0"/>
    <x v="19"/>
    <x v="1"/>
    <x v="10"/>
    <x v="2"/>
  </r>
  <r>
    <s v="TX501849"/>
    <x v="4"/>
    <x v="1"/>
    <n v="53.2"/>
    <x v="793"/>
    <x v="67"/>
    <d v="2025-03-10T00:00:00"/>
    <s v="F"/>
    <x v="1"/>
    <x v="3"/>
    <x v="0"/>
    <x v="20"/>
    <x v="3"/>
    <x v="10"/>
    <x v="2"/>
  </r>
  <r>
    <s v="TX501850"/>
    <x v="2"/>
    <x v="1"/>
    <n v="60"/>
    <x v="160"/>
    <x v="67"/>
    <d v="2025-03-15T00:00:00"/>
    <s v="M"/>
    <x v="1"/>
    <x v="2"/>
    <x v="0"/>
    <x v="20"/>
    <x v="4"/>
    <x v="10"/>
    <x v="1"/>
  </r>
  <r>
    <s v="TX501851"/>
    <x v="8"/>
    <x v="2"/>
    <n v="29.3"/>
    <x v="1205"/>
    <x v="67"/>
    <d v="2025-03-10T00:00:00"/>
    <s v="F"/>
    <x v="4"/>
    <x v="0"/>
    <x v="0"/>
    <x v="13"/>
    <x v="3"/>
    <x v="10"/>
    <x v="2"/>
  </r>
  <r>
    <s v="TX501852"/>
    <x v="12"/>
    <x v="1"/>
    <n v="55.4"/>
    <x v="806"/>
    <x v="67"/>
    <d v="2025-03-10T00:00:00"/>
    <s v="F"/>
    <x v="0"/>
    <x v="2"/>
    <x v="0"/>
    <x v="21"/>
    <x v="3"/>
    <x v="10"/>
    <x v="2"/>
  </r>
  <r>
    <s v="TX501853"/>
    <x v="0"/>
    <x v="9"/>
    <n v="20.100000000000001"/>
    <x v="427"/>
    <x v="67"/>
    <d v="2025-03-11T00:00:00"/>
    <s v="F"/>
    <x v="1"/>
    <x v="2"/>
    <x v="0"/>
    <x v="21"/>
    <x v="1"/>
    <x v="10"/>
    <x v="2"/>
  </r>
  <r>
    <s v="TX501854"/>
    <x v="14"/>
    <x v="9"/>
    <n v="24"/>
    <x v="160"/>
    <x v="67"/>
    <d v="2025-03-12T00:00:00"/>
    <s v="M"/>
    <x v="2"/>
    <x v="0"/>
    <x v="0"/>
    <x v="1"/>
    <x v="2"/>
    <x v="10"/>
    <x v="1"/>
  </r>
  <r>
    <s v="TX501855"/>
    <x v="8"/>
    <x v="1"/>
    <n v="30.6"/>
    <x v="1"/>
    <x v="68"/>
    <d v="2025-03-12T00:00:00"/>
    <s v="F"/>
    <x v="0"/>
    <x v="0"/>
    <x v="0"/>
    <x v="1"/>
    <x v="1"/>
    <x v="10"/>
    <x v="2"/>
  </r>
  <r>
    <s v="TX501856"/>
    <x v="10"/>
    <x v="9"/>
    <n v="33"/>
    <x v="1445"/>
    <x v="68"/>
    <d v="2025-03-11T00:00:00"/>
    <s v="M"/>
    <x v="1"/>
    <x v="1"/>
    <x v="0"/>
    <x v="27"/>
    <x v="3"/>
    <x v="10"/>
    <x v="1"/>
  </r>
  <r>
    <s v="TX501857"/>
    <x v="17"/>
    <x v="11"/>
    <n v="42.1"/>
    <x v="1258"/>
    <x v="68"/>
    <d v="2025-03-16T00:00:00"/>
    <s v="F"/>
    <x v="2"/>
    <x v="0"/>
    <x v="0"/>
    <x v="44"/>
    <x v="4"/>
    <x v="10"/>
    <x v="2"/>
  </r>
  <r>
    <s v="TX501858"/>
    <x v="6"/>
    <x v="3"/>
    <n v="77.7"/>
    <x v="1446"/>
    <x v="68"/>
    <d v="2025-03-15T00:00:00"/>
    <s v="F"/>
    <x v="1"/>
    <x v="2"/>
    <x v="0"/>
    <x v="50"/>
    <x v="0"/>
    <x v="10"/>
    <x v="2"/>
  </r>
  <r>
    <s v="TX501859"/>
    <x v="17"/>
    <x v="13"/>
    <n v="22.7"/>
    <x v="1134"/>
    <x v="68"/>
    <d v="2025-03-13T00:00:00"/>
    <s v="F"/>
    <x v="2"/>
    <x v="0"/>
    <x v="0"/>
    <x v="3"/>
    <x v="2"/>
    <x v="10"/>
    <x v="2"/>
  </r>
  <r>
    <s v="TX501860"/>
    <x v="2"/>
    <x v="1"/>
    <n v="133"/>
    <x v="751"/>
    <x v="68"/>
    <d v="2025-03-10T00:00:00"/>
    <s v="M"/>
    <x v="2"/>
    <x v="2"/>
    <x v="0"/>
    <x v="3"/>
    <x v="7"/>
    <x v="10"/>
    <x v="1"/>
  </r>
  <r>
    <s v="TX501861"/>
    <x v="0"/>
    <x v="1"/>
    <n v="23.3"/>
    <x v="1447"/>
    <x v="68"/>
    <d v="2025-03-11T00:00:00"/>
    <s v="M"/>
    <x v="1"/>
    <x v="2"/>
    <x v="0"/>
    <x v="3"/>
    <x v="3"/>
    <x v="10"/>
    <x v="1"/>
  </r>
  <r>
    <s v="TX501862"/>
    <x v="8"/>
    <x v="2"/>
    <n v="20.7"/>
    <x v="1448"/>
    <x v="68"/>
    <d v="2025-03-12T00:00:00"/>
    <s v="O"/>
    <x v="0"/>
    <x v="2"/>
    <x v="0"/>
    <x v="3"/>
    <x v="1"/>
    <x v="10"/>
    <x v="3"/>
  </r>
  <r>
    <s v="TX501863"/>
    <x v="12"/>
    <x v="1"/>
    <n v="47"/>
    <x v="255"/>
    <x v="68"/>
    <d v="2025-03-11T00:00:00"/>
    <s v="M"/>
    <x v="1"/>
    <x v="2"/>
    <x v="0"/>
    <x v="3"/>
    <x v="3"/>
    <x v="10"/>
    <x v="1"/>
  </r>
  <r>
    <s v="TX501864"/>
    <x v="12"/>
    <x v="2"/>
    <n v="38.200000000000003"/>
    <x v="1449"/>
    <x v="68"/>
    <d v="2025-03-12T00:00:00"/>
    <s v="F"/>
    <x v="2"/>
    <x v="4"/>
    <x v="0"/>
    <x v="3"/>
    <x v="1"/>
    <x v="10"/>
    <x v="2"/>
  </r>
  <r>
    <s v="TX501865"/>
    <x v="9"/>
    <x v="0"/>
    <n v="39.1"/>
    <x v="923"/>
    <x v="68"/>
    <d v="2025-03-12T00:00:00"/>
    <s v="F"/>
    <x v="0"/>
    <x v="0"/>
    <x v="0"/>
    <x v="3"/>
    <x v="1"/>
    <x v="10"/>
    <x v="2"/>
  </r>
  <r>
    <s v="TX501866"/>
    <x v="7"/>
    <x v="30"/>
    <n v="55.6"/>
    <x v="1450"/>
    <x v="68"/>
    <d v="2025-03-12T00:00:00"/>
    <s v="M"/>
    <x v="0"/>
    <x v="2"/>
    <x v="0"/>
    <x v="3"/>
    <x v="1"/>
    <x v="10"/>
    <x v="1"/>
  </r>
  <r>
    <s v="TX501867"/>
    <x v="15"/>
    <x v="0"/>
    <n v="43.1"/>
    <x v="39"/>
    <x v="68"/>
    <d v="2025-03-10T00:00:00"/>
    <s v="O"/>
    <x v="1"/>
    <x v="2"/>
    <x v="0"/>
    <x v="3"/>
    <x v="7"/>
    <x v="10"/>
    <x v="3"/>
  </r>
  <r>
    <s v="TX501868"/>
    <x v="6"/>
    <x v="12"/>
    <n v="48.1"/>
    <x v="1451"/>
    <x v="68"/>
    <d v="2025-03-11T00:00:00"/>
    <s v="F"/>
    <x v="4"/>
    <x v="2"/>
    <x v="0"/>
    <x v="3"/>
    <x v="3"/>
    <x v="10"/>
    <x v="2"/>
  </r>
  <r>
    <s v="TX501869"/>
    <x v="4"/>
    <x v="0"/>
    <n v="42"/>
    <x v="337"/>
    <x v="68"/>
    <d v="2025-03-11T00:00:00"/>
    <s v="O"/>
    <x v="0"/>
    <x v="0"/>
    <x v="0"/>
    <x v="3"/>
    <x v="3"/>
    <x v="10"/>
    <x v="3"/>
  </r>
  <r>
    <s v="TX501870"/>
    <x v="8"/>
    <x v="9"/>
    <n v="18.3"/>
    <x v="1058"/>
    <x v="68"/>
    <d v="2025-03-10T00:00:00"/>
    <s v="F"/>
    <x v="2"/>
    <x v="0"/>
    <x v="0"/>
    <x v="3"/>
    <x v="7"/>
    <x v="10"/>
    <x v="2"/>
  </r>
  <r>
    <s v="TX501871"/>
    <x v="10"/>
    <x v="12"/>
    <n v="45.3"/>
    <x v="1452"/>
    <x v="68"/>
    <d v="2025-03-13T00:00:00"/>
    <s v="F"/>
    <x v="0"/>
    <x v="2"/>
    <x v="0"/>
    <x v="3"/>
    <x v="2"/>
    <x v="10"/>
    <x v="2"/>
  </r>
  <r>
    <s v="TX501872"/>
    <x v="0"/>
    <x v="1"/>
    <n v="27.6"/>
    <x v="291"/>
    <x v="68"/>
    <d v="2025-03-12T00:00:00"/>
    <s v="M"/>
    <x v="0"/>
    <x v="2"/>
    <x v="0"/>
    <x v="37"/>
    <x v="1"/>
    <x v="10"/>
    <x v="1"/>
  </r>
  <r>
    <s v="TX501873"/>
    <x v="4"/>
    <x v="9"/>
    <n v="26.9"/>
    <x v="531"/>
    <x v="68"/>
    <d v="2025-03-11T00:00:00"/>
    <s v="F"/>
    <x v="2"/>
    <x v="0"/>
    <x v="0"/>
    <x v="25"/>
    <x v="3"/>
    <x v="10"/>
    <x v="2"/>
  </r>
  <r>
    <s v="TX501874"/>
    <x v="2"/>
    <x v="11"/>
    <n v="82.4"/>
    <x v="1453"/>
    <x v="68"/>
    <d v="2025-03-12T00:00:00"/>
    <s v="O"/>
    <x v="2"/>
    <x v="0"/>
    <x v="0"/>
    <x v="5"/>
    <x v="1"/>
    <x v="10"/>
    <x v="3"/>
  </r>
  <r>
    <s v="TX501875"/>
    <x v="6"/>
    <x v="0"/>
    <n v="103.7"/>
    <x v="1454"/>
    <x v="68"/>
    <d v="2025-03-12T00:00:00"/>
    <s v="F"/>
    <x v="1"/>
    <x v="0"/>
    <x v="0"/>
    <x v="5"/>
    <x v="1"/>
    <x v="10"/>
    <x v="2"/>
  </r>
  <r>
    <s v="TX501876"/>
    <x v="2"/>
    <x v="1"/>
    <n v="58.8"/>
    <x v="833"/>
    <x v="68"/>
    <d v="2025-03-15T00:00:00"/>
    <s v="F"/>
    <x v="1"/>
    <x v="2"/>
    <x v="0"/>
    <x v="6"/>
    <x v="0"/>
    <x v="10"/>
    <x v="2"/>
  </r>
  <r>
    <s v="TX501877"/>
    <x v="13"/>
    <x v="0"/>
    <n v="31.5"/>
    <x v="1455"/>
    <x v="68"/>
    <d v="2025-03-11T00:00:00"/>
    <s v="F"/>
    <x v="1"/>
    <x v="1"/>
    <x v="0"/>
    <x v="6"/>
    <x v="3"/>
    <x v="10"/>
    <x v="2"/>
  </r>
  <r>
    <s v="TX501878"/>
    <x v="7"/>
    <x v="9"/>
    <n v="36.799999999999997"/>
    <x v="79"/>
    <x v="68"/>
    <d v="2025-03-12T00:00:00"/>
    <s v="F"/>
    <x v="0"/>
    <x v="0"/>
    <x v="0"/>
    <x v="8"/>
    <x v="1"/>
    <x v="10"/>
    <x v="2"/>
  </r>
  <r>
    <s v="TX501879"/>
    <x v="3"/>
    <x v="0"/>
    <n v="84.4"/>
    <x v="533"/>
    <x v="68"/>
    <d v="2025-03-11T00:00:00"/>
    <s v="F"/>
    <x v="0"/>
    <x v="0"/>
    <x v="0"/>
    <x v="8"/>
    <x v="3"/>
    <x v="10"/>
    <x v="2"/>
  </r>
  <r>
    <s v="TX501880"/>
    <x v="14"/>
    <x v="0"/>
    <n v="44.7"/>
    <x v="1456"/>
    <x v="68"/>
    <d v="2025-03-11T00:00:00"/>
    <s v="M"/>
    <x v="0"/>
    <x v="1"/>
    <x v="0"/>
    <x v="8"/>
    <x v="3"/>
    <x v="10"/>
    <x v="1"/>
  </r>
  <r>
    <s v="TX501881"/>
    <x v="9"/>
    <x v="8"/>
    <n v="39.4"/>
    <x v="895"/>
    <x v="68"/>
    <d v="2025-03-11T00:00:00"/>
    <s v="F"/>
    <x v="1"/>
    <x v="2"/>
    <x v="0"/>
    <x v="8"/>
    <x v="3"/>
    <x v="10"/>
    <x v="2"/>
  </r>
  <r>
    <s v="TX501882"/>
    <x v="11"/>
    <x v="12"/>
    <n v="34.9"/>
    <x v="1457"/>
    <x v="68"/>
    <d v="2025-03-12T00:00:00"/>
    <s v="F"/>
    <x v="0"/>
    <x v="2"/>
    <x v="0"/>
    <x v="8"/>
    <x v="1"/>
    <x v="10"/>
    <x v="2"/>
  </r>
  <r>
    <s v="TX501883"/>
    <x v="1"/>
    <x v="2"/>
    <n v="62.3"/>
    <x v="1458"/>
    <x v="68"/>
    <d v="2025-03-12T00:00:00"/>
    <s v="M"/>
    <x v="4"/>
    <x v="2"/>
    <x v="0"/>
    <x v="8"/>
    <x v="1"/>
    <x v="10"/>
    <x v="1"/>
  </r>
  <r>
    <s v="TX501884"/>
    <x v="8"/>
    <x v="12"/>
    <n v="21.1"/>
    <x v="533"/>
    <x v="68"/>
    <d v="2025-03-13T00:00:00"/>
    <s v="M"/>
    <x v="3"/>
    <x v="0"/>
    <x v="0"/>
    <x v="8"/>
    <x v="2"/>
    <x v="10"/>
    <x v="1"/>
  </r>
  <r>
    <s v="TX501885"/>
    <x v="8"/>
    <x v="2"/>
    <n v="33.200000000000003"/>
    <x v="1459"/>
    <x v="68"/>
    <d v="2025-03-24T00:00:00"/>
    <s v=""/>
    <x v="0"/>
    <x v="4"/>
    <x v="0"/>
    <x v="8"/>
    <x v="12"/>
    <x v="10"/>
    <x v="0"/>
  </r>
  <r>
    <s v="TX501886"/>
    <x v="1"/>
    <x v="12"/>
    <n v="74.5"/>
    <x v="1460"/>
    <x v="68"/>
    <d v="2025-03-11T00:00:00"/>
    <s v="M"/>
    <x v="4"/>
    <x v="0"/>
    <x v="0"/>
    <x v="8"/>
    <x v="3"/>
    <x v="10"/>
    <x v="1"/>
  </r>
  <r>
    <s v="TX501887"/>
    <x v="10"/>
    <x v="4"/>
    <n v="68.599999999999994"/>
    <x v="1461"/>
    <x v="68"/>
    <d v="2025-03-13T00:00:00"/>
    <s v="F"/>
    <x v="0"/>
    <x v="2"/>
    <x v="0"/>
    <x v="8"/>
    <x v="2"/>
    <x v="10"/>
    <x v="2"/>
  </r>
  <r>
    <s v="TX501888"/>
    <x v="5"/>
    <x v="21"/>
    <n v="36.4"/>
    <x v="1462"/>
    <x v="68"/>
    <d v="2025-03-12T00:00:00"/>
    <s v="F"/>
    <x v="0"/>
    <x v="1"/>
    <x v="0"/>
    <x v="9"/>
    <x v="1"/>
    <x v="10"/>
    <x v="2"/>
  </r>
  <r>
    <s v="TX501889"/>
    <x v="16"/>
    <x v="9"/>
    <n v="67.599999999999994"/>
    <x v="1463"/>
    <x v="69"/>
    <d v="2025-03-14T00:00:00"/>
    <s v="F"/>
    <x v="4"/>
    <x v="1"/>
    <x v="0"/>
    <x v="9"/>
    <x v="2"/>
    <x v="10"/>
    <x v="2"/>
  </r>
  <r>
    <s v="TX501890"/>
    <x v="15"/>
    <x v="0"/>
    <n v="46.3"/>
    <x v="516"/>
    <x v="69"/>
    <d v="2025-03-12T00:00:00"/>
    <s v="M"/>
    <x v="2"/>
    <x v="0"/>
    <x v="0"/>
    <x v="9"/>
    <x v="3"/>
    <x v="10"/>
    <x v="1"/>
  </r>
  <r>
    <s v="TX501891"/>
    <x v="1"/>
    <x v="2"/>
    <n v="124.2"/>
    <x v="1464"/>
    <x v="69"/>
    <d v="2025-03-13T00:00:00"/>
    <s v="F"/>
    <x v="1"/>
    <x v="2"/>
    <x v="0"/>
    <x v="11"/>
    <x v="1"/>
    <x v="10"/>
    <x v="2"/>
  </r>
  <r>
    <s v="TX501892"/>
    <x v="10"/>
    <x v="1"/>
    <n v="37"/>
    <x v="372"/>
    <x v="69"/>
    <d v="2025-03-17T00:00:00"/>
    <s v="M"/>
    <x v="0"/>
    <x v="0"/>
    <x v="0"/>
    <x v="11"/>
    <x v="4"/>
    <x v="10"/>
    <x v="1"/>
  </r>
  <r>
    <s v="TX501893"/>
    <x v="5"/>
    <x v="0"/>
    <n v="41.8"/>
    <x v="1465"/>
    <x v="69"/>
    <d v="2025-03-12T00:00:00"/>
    <s v="M"/>
    <x v="2"/>
    <x v="0"/>
    <x v="0"/>
    <x v="31"/>
    <x v="3"/>
    <x v="10"/>
    <x v="1"/>
  </r>
  <r>
    <s v="TX501894"/>
    <x v="9"/>
    <x v="1"/>
    <n v="57.2"/>
    <x v="1466"/>
    <x v="69"/>
    <d v="2025-03-13T00:00:00"/>
    <s v="M"/>
    <x v="2"/>
    <x v="1"/>
    <x v="0"/>
    <x v="20"/>
    <x v="1"/>
    <x v="10"/>
    <x v="1"/>
  </r>
  <r>
    <s v="TX501895"/>
    <x v="6"/>
    <x v="1"/>
    <n v="47.1"/>
    <x v="1467"/>
    <x v="69"/>
    <d v="2025-03-13T00:00:00"/>
    <s v="F"/>
    <x v="0"/>
    <x v="4"/>
    <x v="0"/>
    <x v="20"/>
    <x v="1"/>
    <x v="10"/>
    <x v="2"/>
  </r>
  <r>
    <s v="TX501896"/>
    <x v="5"/>
    <x v="2"/>
    <n v="86.4"/>
    <x v="1468"/>
    <x v="69"/>
    <d v="2025-03-12T00:00:00"/>
    <s v="M"/>
    <x v="2"/>
    <x v="1"/>
    <x v="0"/>
    <x v="52"/>
    <x v="3"/>
    <x v="10"/>
    <x v="1"/>
  </r>
  <r>
    <s v="TX501897"/>
    <x v="6"/>
    <x v="9"/>
    <n v="105"/>
    <x v="1469"/>
    <x v="69"/>
    <d v="2025-03-14T00:00:00"/>
    <s v="M"/>
    <x v="0"/>
    <x v="0"/>
    <x v="0"/>
    <x v="13"/>
    <x v="2"/>
    <x v="10"/>
    <x v="1"/>
  </r>
  <r>
    <s v="TX501898"/>
    <x v="18"/>
    <x v="0"/>
    <n v="33"/>
    <x v="940"/>
    <x v="69"/>
    <d v="2025-03-14T00:00:00"/>
    <s v="M"/>
    <x v="4"/>
    <x v="0"/>
    <x v="0"/>
    <x v="21"/>
    <x v="2"/>
    <x v="10"/>
    <x v="1"/>
  </r>
  <r>
    <s v="TX501899"/>
    <x v="6"/>
    <x v="9"/>
    <n v="106.6"/>
    <x v="1470"/>
    <x v="69"/>
    <d v="2025-03-24T00:00:00"/>
    <s v="F"/>
    <x v="2"/>
    <x v="0"/>
    <x v="0"/>
    <x v="1"/>
    <x v="10"/>
    <x v="10"/>
    <x v="2"/>
  </r>
  <r>
    <s v="TX501900"/>
    <x v="10"/>
    <x v="46"/>
    <n v="26.8"/>
    <x v="1471"/>
    <x v="69"/>
    <d v="2025-03-12T00:00:00"/>
    <s v="F"/>
    <x v="2"/>
    <x v="0"/>
    <x v="0"/>
    <x v="1"/>
    <x v="3"/>
    <x v="10"/>
    <x v="2"/>
  </r>
  <r>
    <s v="TX501901"/>
    <x v="17"/>
    <x v="9"/>
    <n v="25.8"/>
    <x v="309"/>
    <x v="69"/>
    <d v="2025-03-11T00:00:00"/>
    <s v="F"/>
    <x v="1"/>
    <x v="2"/>
    <x v="0"/>
    <x v="3"/>
    <x v="7"/>
    <x v="10"/>
    <x v="2"/>
  </r>
  <r>
    <s v="TX501902"/>
    <x v="2"/>
    <x v="2"/>
    <n v="217"/>
    <x v="1472"/>
    <x v="69"/>
    <d v="2025-03-12T00:00:00"/>
    <s v="F"/>
    <x v="1"/>
    <x v="1"/>
    <x v="0"/>
    <x v="3"/>
    <x v="3"/>
    <x v="10"/>
    <x v="2"/>
  </r>
  <r>
    <s v="TX501903"/>
    <x v="2"/>
    <x v="1"/>
    <n v="97.3"/>
    <x v="1473"/>
    <x v="69"/>
    <d v="2025-03-12T00:00:00"/>
    <s v="M"/>
    <x v="2"/>
    <x v="4"/>
    <x v="0"/>
    <x v="3"/>
    <x v="3"/>
    <x v="10"/>
    <x v="1"/>
  </r>
  <r>
    <s v="TX501904"/>
    <x v="1"/>
    <x v="0"/>
    <n v="49.8"/>
    <x v="1474"/>
    <x v="69"/>
    <d v="2025-03-12T00:00:00"/>
    <s v="F"/>
    <x v="0"/>
    <x v="0"/>
    <x v="0"/>
    <x v="3"/>
    <x v="3"/>
    <x v="10"/>
    <x v="2"/>
  </r>
  <r>
    <s v="TX501905"/>
    <x v="12"/>
    <x v="9"/>
    <n v="32.6"/>
    <x v="1475"/>
    <x v="69"/>
    <d v="2025-03-12T00:00:00"/>
    <s v="F"/>
    <x v="0"/>
    <x v="0"/>
    <x v="0"/>
    <x v="3"/>
    <x v="3"/>
    <x v="10"/>
    <x v="2"/>
  </r>
  <r>
    <s v="TX501906"/>
    <x v="9"/>
    <x v="1"/>
    <n v="40.1"/>
    <x v="556"/>
    <x v="69"/>
    <d v="2025-03-14T00:00:00"/>
    <s v="M"/>
    <x v="1"/>
    <x v="2"/>
    <x v="0"/>
    <x v="3"/>
    <x v="2"/>
    <x v="10"/>
    <x v="1"/>
  </r>
  <r>
    <s v="TX501907"/>
    <x v="10"/>
    <x v="1"/>
    <n v="49.4"/>
    <x v="197"/>
    <x v="69"/>
    <d v="2025-03-13T00:00:00"/>
    <s v="M"/>
    <x v="1"/>
    <x v="0"/>
    <x v="0"/>
    <x v="3"/>
    <x v="1"/>
    <x v="10"/>
    <x v="1"/>
  </r>
  <r>
    <s v="TX501908"/>
    <x v="2"/>
    <x v="0"/>
    <n v="67.3"/>
    <x v="1476"/>
    <x v="69"/>
    <d v="2025-03-12T00:00:00"/>
    <s v="F"/>
    <x v="0"/>
    <x v="2"/>
    <x v="0"/>
    <x v="3"/>
    <x v="3"/>
    <x v="10"/>
    <x v="2"/>
  </r>
  <r>
    <s v="TX501909"/>
    <x v="18"/>
    <x v="12"/>
    <n v="44.5"/>
    <x v="394"/>
    <x v="69"/>
    <d v="2025-03-14T00:00:00"/>
    <s v=""/>
    <x v="1"/>
    <x v="0"/>
    <x v="0"/>
    <x v="3"/>
    <x v="2"/>
    <x v="10"/>
    <x v="0"/>
  </r>
  <r>
    <s v="TX501910"/>
    <x v="6"/>
    <x v="5"/>
    <n v="111.1"/>
    <x v="1477"/>
    <x v="69"/>
    <d v="2025-03-12T00:00:00"/>
    <s v="F"/>
    <x v="4"/>
    <x v="0"/>
    <x v="0"/>
    <x v="3"/>
    <x v="3"/>
    <x v="10"/>
    <x v="2"/>
  </r>
  <r>
    <s v="TX501911"/>
    <x v="8"/>
    <x v="2"/>
    <n v="19.7"/>
    <x v="1478"/>
    <x v="69"/>
    <d v="2025-03-12T00:00:00"/>
    <s v="F"/>
    <x v="4"/>
    <x v="4"/>
    <x v="0"/>
    <x v="3"/>
    <x v="3"/>
    <x v="10"/>
    <x v="2"/>
  </r>
  <r>
    <s v="TX501912"/>
    <x v="1"/>
    <x v="0"/>
    <n v="40.299999999999997"/>
    <x v="518"/>
    <x v="69"/>
    <d v="2025-03-12T00:00:00"/>
    <s v="O"/>
    <x v="1"/>
    <x v="0"/>
    <x v="0"/>
    <x v="3"/>
    <x v="3"/>
    <x v="10"/>
    <x v="3"/>
  </r>
  <r>
    <s v="TX501913"/>
    <x v="6"/>
    <x v="1"/>
    <n v="108.8"/>
    <x v="1479"/>
    <x v="69"/>
    <d v="2025-03-16T00:00:00"/>
    <s v="M"/>
    <x v="0"/>
    <x v="2"/>
    <x v="0"/>
    <x v="6"/>
    <x v="0"/>
    <x v="10"/>
    <x v="1"/>
  </r>
  <r>
    <s v="TX501914"/>
    <x v="8"/>
    <x v="2"/>
    <n v="48.2"/>
    <x v="1435"/>
    <x v="69"/>
    <d v="2025-03-16T00:00:00"/>
    <s v="F"/>
    <x v="4"/>
    <x v="0"/>
    <x v="0"/>
    <x v="7"/>
    <x v="0"/>
    <x v="10"/>
    <x v="2"/>
  </r>
  <r>
    <s v="TX501915"/>
    <x v="2"/>
    <x v="2"/>
    <n v="104.7"/>
    <x v="1480"/>
    <x v="69"/>
    <d v="2025-03-13T00:00:00"/>
    <s v="F"/>
    <x v="0"/>
    <x v="1"/>
    <x v="0"/>
    <x v="7"/>
    <x v="1"/>
    <x v="10"/>
    <x v="2"/>
  </r>
  <r>
    <s v="TX501916"/>
    <x v="1"/>
    <x v="1"/>
    <n v="80.599999999999994"/>
    <x v="154"/>
    <x v="69"/>
    <d v="2025-03-11T00:00:00"/>
    <s v="F"/>
    <x v="1"/>
    <x v="0"/>
    <x v="0"/>
    <x v="8"/>
    <x v="7"/>
    <x v="10"/>
    <x v="2"/>
  </r>
  <r>
    <s v="TX501917"/>
    <x v="6"/>
    <x v="0"/>
    <n v="65.5"/>
    <x v="1481"/>
    <x v="69"/>
    <d v="2025-03-13T00:00:00"/>
    <s v="O"/>
    <x v="1"/>
    <x v="0"/>
    <x v="0"/>
    <x v="8"/>
    <x v="1"/>
    <x v="10"/>
    <x v="3"/>
  </r>
  <r>
    <s v="TX501918"/>
    <x v="9"/>
    <x v="2"/>
    <n v="61.4"/>
    <x v="1173"/>
    <x v="69"/>
    <d v="2025-03-13T00:00:00"/>
    <s v="F"/>
    <x v="4"/>
    <x v="2"/>
    <x v="0"/>
    <x v="8"/>
    <x v="1"/>
    <x v="10"/>
    <x v="2"/>
  </r>
  <r>
    <s v="TX501919"/>
    <x v="0"/>
    <x v="0"/>
    <n v="12.5"/>
    <x v="1482"/>
    <x v="70"/>
    <d v="2025-03-15T00:00:00"/>
    <s v="F"/>
    <x v="0"/>
    <x v="1"/>
    <x v="0"/>
    <x v="8"/>
    <x v="2"/>
    <x v="10"/>
    <x v="2"/>
  </r>
  <r>
    <s v="TX501920"/>
    <x v="4"/>
    <x v="12"/>
    <n v="35.1"/>
    <x v="381"/>
    <x v="70"/>
    <d v="2025-03-13T00:00:00"/>
    <s v="M"/>
    <x v="2"/>
    <x v="1"/>
    <x v="0"/>
    <x v="17"/>
    <x v="3"/>
    <x v="10"/>
    <x v="1"/>
  </r>
  <r>
    <s v="TX501921"/>
    <x v="5"/>
    <x v="1"/>
    <n v="55.7"/>
    <x v="1483"/>
    <x v="70"/>
    <d v="2025-03-13T00:00:00"/>
    <s v="M"/>
    <x v="0"/>
    <x v="1"/>
    <x v="0"/>
    <x v="26"/>
    <x v="3"/>
    <x v="10"/>
    <x v="1"/>
  </r>
  <r>
    <s v="TX501922"/>
    <x v="7"/>
    <x v="1"/>
    <n v="57.7"/>
    <x v="1484"/>
    <x v="70"/>
    <d v="2025-03-14T00:00:00"/>
    <s v="M"/>
    <x v="4"/>
    <x v="1"/>
    <x v="0"/>
    <x v="9"/>
    <x v="1"/>
    <x v="10"/>
    <x v="1"/>
  </r>
  <r>
    <s v="TX501923"/>
    <x v="2"/>
    <x v="13"/>
    <n v="85.7"/>
    <x v="1485"/>
    <x v="70"/>
    <d v="2025-03-13T00:00:00"/>
    <s v="M"/>
    <x v="3"/>
    <x v="2"/>
    <x v="0"/>
    <x v="9"/>
    <x v="3"/>
    <x v="10"/>
    <x v="1"/>
  </r>
  <r>
    <s v="TX501924"/>
    <x v="2"/>
    <x v="2"/>
    <n v="86.9"/>
    <x v="1486"/>
    <x v="70"/>
    <d v="2025-03-14T00:00:00"/>
    <s v="F"/>
    <x v="1"/>
    <x v="0"/>
    <x v="0"/>
    <x v="11"/>
    <x v="1"/>
    <x v="10"/>
    <x v="2"/>
  </r>
  <r>
    <s v="TX501925"/>
    <x v="18"/>
    <x v="1"/>
    <n v="46.4"/>
    <x v="1487"/>
    <x v="70"/>
    <d v="2025-03-15T00:00:00"/>
    <s v="F"/>
    <x v="4"/>
    <x v="0"/>
    <x v="0"/>
    <x v="11"/>
    <x v="2"/>
    <x v="10"/>
    <x v="2"/>
  </r>
  <r>
    <s v="TX501926"/>
    <x v="5"/>
    <x v="2"/>
    <n v="25.4"/>
    <x v="1488"/>
    <x v="70"/>
    <d v="2025-03-12T00:00:00"/>
    <s v="F"/>
    <x v="2"/>
    <x v="2"/>
    <x v="0"/>
    <x v="18"/>
    <x v="7"/>
    <x v="10"/>
    <x v="2"/>
  </r>
  <r>
    <s v="TX501927"/>
    <x v="10"/>
    <x v="2"/>
    <n v="47.8"/>
    <x v="1489"/>
    <x v="70"/>
    <d v="2025-03-12T00:00:00"/>
    <s v=""/>
    <x v="2"/>
    <x v="2"/>
    <x v="0"/>
    <x v="19"/>
    <x v="7"/>
    <x v="10"/>
    <x v="0"/>
  </r>
  <r>
    <s v="TX501928"/>
    <x v="8"/>
    <x v="10"/>
    <n v="18.399999999999999"/>
    <x v="1490"/>
    <x v="70"/>
    <d v="2025-03-14T00:00:00"/>
    <s v="O"/>
    <x v="2"/>
    <x v="0"/>
    <x v="0"/>
    <x v="20"/>
    <x v="1"/>
    <x v="10"/>
    <x v="3"/>
  </r>
  <r>
    <s v="TX501929"/>
    <x v="12"/>
    <x v="2"/>
    <n v="65.5"/>
    <x v="756"/>
    <x v="70"/>
    <d v="2025-03-20T00:00:00"/>
    <s v="F"/>
    <x v="0"/>
    <x v="0"/>
    <x v="0"/>
    <x v="21"/>
    <x v="9"/>
    <x v="10"/>
    <x v="2"/>
  </r>
  <r>
    <s v="TX501930"/>
    <x v="10"/>
    <x v="1"/>
    <n v="50.6"/>
    <x v="855"/>
    <x v="70"/>
    <d v="2025-03-15T00:00:00"/>
    <s v="M"/>
    <x v="2"/>
    <x v="4"/>
    <x v="0"/>
    <x v="21"/>
    <x v="2"/>
    <x v="10"/>
    <x v="1"/>
  </r>
  <r>
    <s v="TX501931"/>
    <x v="3"/>
    <x v="9"/>
    <n v="69"/>
    <x v="1491"/>
    <x v="70"/>
    <d v="2025-03-16T00:00:00"/>
    <s v="M"/>
    <x v="3"/>
    <x v="0"/>
    <x v="0"/>
    <x v="21"/>
    <x v="5"/>
    <x v="10"/>
    <x v="1"/>
  </r>
  <r>
    <s v="TX501932"/>
    <x v="9"/>
    <x v="8"/>
    <n v="51.1"/>
    <x v="18"/>
    <x v="70"/>
    <d v="2025-03-14T00:00:00"/>
    <s v="F"/>
    <x v="0"/>
    <x v="0"/>
    <x v="0"/>
    <x v="1"/>
    <x v="1"/>
    <x v="10"/>
    <x v="2"/>
  </r>
  <r>
    <s v="TX501933"/>
    <x v="9"/>
    <x v="0"/>
    <n v="36.1"/>
    <x v="168"/>
    <x v="70"/>
    <d v="2025-03-13T00:00:00"/>
    <s v="F"/>
    <x v="0"/>
    <x v="2"/>
    <x v="0"/>
    <x v="34"/>
    <x v="3"/>
    <x v="10"/>
    <x v="2"/>
  </r>
  <r>
    <s v="TX501934"/>
    <x v="14"/>
    <x v="0"/>
    <n v="18.7"/>
    <x v="1492"/>
    <x v="70"/>
    <d v="2025-03-13T00:00:00"/>
    <s v="M"/>
    <x v="0"/>
    <x v="0"/>
    <x v="0"/>
    <x v="3"/>
    <x v="3"/>
    <x v="10"/>
    <x v="1"/>
  </r>
  <r>
    <s v="TX501935"/>
    <x v="17"/>
    <x v="0"/>
    <n v="30.1"/>
    <x v="1493"/>
    <x v="70"/>
    <d v="2025-03-15T00:00:00"/>
    <s v="F"/>
    <x v="3"/>
    <x v="1"/>
    <x v="0"/>
    <x v="3"/>
    <x v="2"/>
    <x v="10"/>
    <x v="2"/>
  </r>
  <r>
    <s v="TX501936"/>
    <x v="8"/>
    <x v="0"/>
    <n v="16.3"/>
    <x v="1494"/>
    <x v="70"/>
    <d v="2025-03-13T00:00:00"/>
    <s v="M"/>
    <x v="3"/>
    <x v="0"/>
    <x v="0"/>
    <x v="3"/>
    <x v="3"/>
    <x v="10"/>
    <x v="1"/>
  </r>
  <r>
    <s v="TX501937"/>
    <x v="1"/>
    <x v="2"/>
    <n v="63.8"/>
    <x v="1348"/>
    <x v="70"/>
    <d v="2025-03-17T00:00:00"/>
    <s v="F"/>
    <x v="2"/>
    <x v="1"/>
    <x v="0"/>
    <x v="3"/>
    <x v="0"/>
    <x v="10"/>
    <x v="2"/>
  </r>
  <r>
    <s v="TX501938"/>
    <x v="1"/>
    <x v="3"/>
    <n v="73.900000000000006"/>
    <x v="1495"/>
    <x v="70"/>
    <d v="2025-03-12T00:00:00"/>
    <s v="F"/>
    <x v="0"/>
    <x v="1"/>
    <x v="0"/>
    <x v="3"/>
    <x v="7"/>
    <x v="10"/>
    <x v="2"/>
  </r>
  <r>
    <s v="TX501939"/>
    <x v="0"/>
    <x v="1"/>
    <n v="20.2"/>
    <x v="1400"/>
    <x v="70"/>
    <d v="2025-03-13T00:00:00"/>
    <s v="M"/>
    <x v="0"/>
    <x v="1"/>
    <x v="0"/>
    <x v="3"/>
    <x v="3"/>
    <x v="10"/>
    <x v="1"/>
  </r>
  <r>
    <s v="TX501940"/>
    <x v="11"/>
    <x v="5"/>
    <n v="29.5"/>
    <x v="1496"/>
    <x v="70"/>
    <d v="2025-03-13T00:00:00"/>
    <s v="M"/>
    <x v="0"/>
    <x v="0"/>
    <x v="0"/>
    <x v="3"/>
    <x v="3"/>
    <x v="10"/>
    <x v="1"/>
  </r>
  <r>
    <s v="TX501941"/>
    <x v="15"/>
    <x v="3"/>
    <n v="37.9"/>
    <x v="1497"/>
    <x v="70"/>
    <d v="2025-03-13T00:00:00"/>
    <s v="M"/>
    <x v="1"/>
    <x v="0"/>
    <x v="0"/>
    <x v="3"/>
    <x v="3"/>
    <x v="10"/>
    <x v="1"/>
  </r>
  <r>
    <s v="TX501942"/>
    <x v="2"/>
    <x v="0"/>
    <n v="56.5"/>
    <x v="1498"/>
    <x v="70"/>
    <d v="2025-03-13T00:00:00"/>
    <s v="F"/>
    <x v="2"/>
    <x v="1"/>
    <x v="0"/>
    <x v="3"/>
    <x v="3"/>
    <x v="10"/>
    <x v="2"/>
  </r>
  <r>
    <s v="TX501943"/>
    <x v="2"/>
    <x v="1"/>
    <n v="66.900000000000006"/>
    <x v="981"/>
    <x v="70"/>
    <d v="2025-03-18T00:00:00"/>
    <s v="M"/>
    <x v="1"/>
    <x v="4"/>
    <x v="0"/>
    <x v="25"/>
    <x v="4"/>
    <x v="10"/>
    <x v="1"/>
  </r>
  <r>
    <s v="TX501944"/>
    <x v="2"/>
    <x v="9"/>
    <n v="51.9"/>
    <x v="1499"/>
    <x v="70"/>
    <d v="2025-03-15T00:00:00"/>
    <s v="M"/>
    <x v="1"/>
    <x v="0"/>
    <x v="0"/>
    <x v="7"/>
    <x v="2"/>
    <x v="10"/>
    <x v="1"/>
  </r>
  <r>
    <s v="TX501945"/>
    <x v="2"/>
    <x v="1"/>
    <n v="75.599999999999994"/>
    <x v="277"/>
    <x v="70"/>
    <d v="2025-03-15T00:00:00"/>
    <s v="M"/>
    <x v="1"/>
    <x v="0"/>
    <x v="0"/>
    <x v="8"/>
    <x v="2"/>
    <x v="10"/>
    <x v="1"/>
  </r>
  <r>
    <s v="TX501946"/>
    <x v="12"/>
    <x v="13"/>
    <n v="47.3"/>
    <x v="592"/>
    <x v="70"/>
    <d v="2025-03-23T00:00:00"/>
    <s v="M"/>
    <x v="0"/>
    <x v="0"/>
    <x v="0"/>
    <x v="8"/>
    <x v="11"/>
    <x v="10"/>
    <x v="1"/>
  </r>
  <r>
    <s v="TX501947"/>
    <x v="4"/>
    <x v="0"/>
    <n v="20.6"/>
    <x v="1500"/>
    <x v="70"/>
    <d v="2025-03-13T00:00:00"/>
    <s v=""/>
    <x v="0"/>
    <x v="1"/>
    <x v="0"/>
    <x v="8"/>
    <x v="3"/>
    <x v="10"/>
    <x v="0"/>
  </r>
  <r>
    <s v="TX501948"/>
    <x v="6"/>
    <x v="2"/>
    <n v="49.7"/>
    <x v="1501"/>
    <x v="70"/>
    <d v="2025-03-14T00:00:00"/>
    <s v="M"/>
    <x v="0"/>
    <x v="1"/>
    <x v="0"/>
    <x v="8"/>
    <x v="1"/>
    <x v="10"/>
    <x v="1"/>
  </r>
  <r>
    <s v="TX501949"/>
    <x v="3"/>
    <x v="0"/>
    <n v="37.9"/>
    <x v="853"/>
    <x v="70"/>
    <d v="2025-03-14T00:00:00"/>
    <s v="F"/>
    <x v="0"/>
    <x v="0"/>
    <x v="0"/>
    <x v="8"/>
    <x v="1"/>
    <x v="10"/>
    <x v="2"/>
  </r>
  <r>
    <s v="TX501950"/>
    <x v="13"/>
    <x v="20"/>
    <n v="32"/>
    <x v="1502"/>
    <x v="70"/>
    <d v="2025-03-14T00:00:00"/>
    <s v="F"/>
    <x v="4"/>
    <x v="0"/>
    <x v="0"/>
    <x v="11"/>
    <x v="1"/>
    <x v="10"/>
    <x v="2"/>
  </r>
  <r>
    <s v="TX501951"/>
    <x v="10"/>
    <x v="16"/>
    <n v="38.5"/>
    <x v="1503"/>
    <x v="71"/>
    <d v="2025-03-14T00:00:00"/>
    <s v="M"/>
    <x v="0"/>
    <x v="2"/>
    <x v="0"/>
    <x v="11"/>
    <x v="3"/>
    <x v="10"/>
    <x v="1"/>
  </r>
  <r>
    <s v="TX501952"/>
    <x v="0"/>
    <x v="12"/>
    <n v="11.7"/>
    <x v="86"/>
    <x v="71"/>
    <d v="2025-03-15T00:00:00"/>
    <s v="F"/>
    <x v="1"/>
    <x v="0"/>
    <x v="0"/>
    <x v="20"/>
    <x v="1"/>
    <x v="10"/>
    <x v="2"/>
  </r>
  <r>
    <s v="TX501953"/>
    <x v="3"/>
    <x v="13"/>
    <n v="83.8"/>
    <x v="1504"/>
    <x v="71"/>
    <d v="2025-03-14T00:00:00"/>
    <s v="M"/>
    <x v="0"/>
    <x v="0"/>
    <x v="0"/>
    <x v="21"/>
    <x v="3"/>
    <x v="10"/>
    <x v="1"/>
  </r>
  <r>
    <s v="TX501954"/>
    <x v="0"/>
    <x v="3"/>
    <n v="14"/>
    <x v="11"/>
    <x v="71"/>
    <d v="2025-03-16T00:00:00"/>
    <s v="M"/>
    <x v="0"/>
    <x v="1"/>
    <x v="0"/>
    <x v="22"/>
    <x v="2"/>
    <x v="10"/>
    <x v="1"/>
  </r>
  <r>
    <s v="TX501955"/>
    <x v="16"/>
    <x v="12"/>
    <n v="77.3"/>
    <x v="1505"/>
    <x v="71"/>
    <d v="2025-03-15T00:00:00"/>
    <s v="F"/>
    <x v="4"/>
    <x v="2"/>
    <x v="0"/>
    <x v="3"/>
    <x v="1"/>
    <x v="10"/>
    <x v="2"/>
  </r>
  <r>
    <s v="TX501956"/>
    <x v="2"/>
    <x v="1"/>
    <n v="76.900000000000006"/>
    <x v="1506"/>
    <x v="71"/>
    <d v="2025-03-17T00:00:00"/>
    <s v="F"/>
    <x v="0"/>
    <x v="1"/>
    <x v="0"/>
    <x v="3"/>
    <x v="5"/>
    <x v="10"/>
    <x v="2"/>
  </r>
  <r>
    <s v="TX501957"/>
    <x v="1"/>
    <x v="0"/>
    <n v="48"/>
    <x v="510"/>
    <x v="71"/>
    <d v="2025-03-15T00:00:00"/>
    <s v="F"/>
    <x v="1"/>
    <x v="2"/>
    <x v="0"/>
    <x v="3"/>
    <x v="1"/>
    <x v="10"/>
    <x v="2"/>
  </r>
  <r>
    <s v="TX501958"/>
    <x v="2"/>
    <x v="0"/>
    <n v="94.5"/>
    <x v="234"/>
    <x v="71"/>
    <d v="2025-03-16T00:00:00"/>
    <s v="M"/>
    <x v="1"/>
    <x v="1"/>
    <x v="0"/>
    <x v="3"/>
    <x v="2"/>
    <x v="10"/>
    <x v="1"/>
  </r>
  <r>
    <s v="TX501959"/>
    <x v="10"/>
    <x v="2"/>
    <n v="58.4"/>
    <x v="122"/>
    <x v="71"/>
    <d v="2025-03-15T00:00:00"/>
    <s v="F"/>
    <x v="1"/>
    <x v="2"/>
    <x v="0"/>
    <x v="3"/>
    <x v="1"/>
    <x v="10"/>
    <x v="2"/>
  </r>
  <r>
    <s v="TX501960"/>
    <x v="7"/>
    <x v="15"/>
    <n v="42.2"/>
    <x v="1507"/>
    <x v="71"/>
    <d v="2025-03-13T00:00:00"/>
    <s v="M"/>
    <x v="0"/>
    <x v="0"/>
    <x v="0"/>
    <x v="25"/>
    <x v="7"/>
    <x v="10"/>
    <x v="1"/>
  </r>
  <r>
    <s v="TX501961"/>
    <x v="6"/>
    <x v="1"/>
    <n v="152.19999999999999"/>
    <x v="1508"/>
    <x v="71"/>
    <d v="2025-03-14T00:00:00"/>
    <s v="M"/>
    <x v="4"/>
    <x v="1"/>
    <x v="0"/>
    <x v="25"/>
    <x v="3"/>
    <x v="10"/>
    <x v="1"/>
  </r>
  <r>
    <s v="TX501962"/>
    <x v="6"/>
    <x v="25"/>
    <n v="72"/>
    <x v="1509"/>
    <x v="71"/>
    <d v="2025-03-14T00:00:00"/>
    <s v="M"/>
    <x v="0"/>
    <x v="1"/>
    <x v="0"/>
    <x v="6"/>
    <x v="3"/>
    <x v="10"/>
    <x v="1"/>
  </r>
  <r>
    <s v="TX501963"/>
    <x v="1"/>
    <x v="44"/>
    <n v="70.900000000000006"/>
    <x v="1510"/>
    <x v="71"/>
    <d v="2025-03-14T00:00:00"/>
    <s v="F"/>
    <x v="2"/>
    <x v="0"/>
    <x v="0"/>
    <x v="8"/>
    <x v="3"/>
    <x v="10"/>
    <x v="2"/>
  </r>
  <r>
    <s v="TX501964"/>
    <x v="2"/>
    <x v="1"/>
    <n v="53.7"/>
    <x v="1511"/>
    <x v="71"/>
    <d v="2025-03-14T00:00:00"/>
    <s v="M"/>
    <x v="2"/>
    <x v="2"/>
    <x v="0"/>
    <x v="8"/>
    <x v="3"/>
    <x v="10"/>
    <x v="1"/>
  </r>
  <r>
    <s v="TX501965"/>
    <x v="9"/>
    <x v="12"/>
    <n v="42.9"/>
    <x v="1512"/>
    <x v="71"/>
    <d v="2025-03-14T00:00:00"/>
    <s v="F"/>
    <x v="2"/>
    <x v="4"/>
    <x v="0"/>
    <x v="9"/>
    <x v="3"/>
    <x v="10"/>
    <x v="2"/>
  </r>
  <r>
    <s v="TX501966"/>
    <x v="2"/>
    <x v="3"/>
    <n v="107.5"/>
    <x v="1513"/>
    <x v="71"/>
    <d v="2025-03-14T00:00:00"/>
    <s v="M"/>
    <x v="1"/>
    <x v="0"/>
    <x v="0"/>
    <x v="11"/>
    <x v="3"/>
    <x v="10"/>
    <x v="1"/>
  </r>
  <r>
    <s v="TX501967"/>
    <x v="17"/>
    <x v="27"/>
    <n v="21.5"/>
    <x v="1213"/>
    <x v="71"/>
    <d v="2025-03-14T00:00:00"/>
    <s v="M"/>
    <x v="1"/>
    <x v="1"/>
    <x v="0"/>
    <x v="32"/>
    <x v="3"/>
    <x v="10"/>
    <x v="1"/>
  </r>
  <r>
    <s v="TX501968"/>
    <x v="3"/>
    <x v="9"/>
    <n v="85.3"/>
    <x v="1514"/>
    <x v="71"/>
    <d v="2025-03-15T00:00:00"/>
    <s v="F"/>
    <x v="3"/>
    <x v="0"/>
    <x v="0"/>
    <x v="18"/>
    <x v="1"/>
    <x v="10"/>
    <x v="2"/>
  </r>
  <r>
    <s v="TX501969"/>
    <x v="7"/>
    <x v="9"/>
    <n v="80.8"/>
    <x v="1515"/>
    <x v="71"/>
    <d v="2025-03-21T00:00:00"/>
    <s v="O"/>
    <x v="1"/>
    <x v="1"/>
    <x v="0"/>
    <x v="19"/>
    <x v="9"/>
    <x v="10"/>
    <x v="3"/>
  </r>
  <r>
    <s v="TX501970"/>
    <x v="2"/>
    <x v="2"/>
    <n v="123.1"/>
    <x v="1516"/>
    <x v="71"/>
    <d v="2025-03-15T00:00:00"/>
    <s v=""/>
    <x v="2"/>
    <x v="0"/>
    <x v="0"/>
    <x v="21"/>
    <x v="1"/>
    <x v="10"/>
    <x v="0"/>
  </r>
  <r>
    <s v="TX501971"/>
    <x v="8"/>
    <x v="1"/>
    <n v="36.9"/>
    <x v="1517"/>
    <x v="71"/>
    <d v="2025-03-15T00:00:00"/>
    <s v="F"/>
    <x v="2"/>
    <x v="4"/>
    <x v="0"/>
    <x v="51"/>
    <x v="1"/>
    <x v="10"/>
    <x v="2"/>
  </r>
  <r>
    <s v="TX501972"/>
    <x v="11"/>
    <x v="9"/>
    <n v="40"/>
    <x v="308"/>
    <x v="71"/>
    <d v="2025-03-14T00:00:00"/>
    <s v="M"/>
    <x v="0"/>
    <x v="0"/>
    <x v="0"/>
    <x v="1"/>
    <x v="3"/>
    <x v="10"/>
    <x v="1"/>
  </r>
  <r>
    <s v="TX501973"/>
    <x v="6"/>
    <x v="2"/>
    <n v="55.5"/>
    <x v="1256"/>
    <x v="71"/>
    <d v="2025-03-14T00:00:00"/>
    <s v="M"/>
    <x v="4"/>
    <x v="2"/>
    <x v="0"/>
    <x v="1"/>
    <x v="3"/>
    <x v="10"/>
    <x v="1"/>
  </r>
  <r>
    <s v="TX501974"/>
    <x v="0"/>
    <x v="12"/>
    <n v="20.5"/>
    <x v="1518"/>
    <x v="71"/>
    <d v="2025-03-17T00:00:00"/>
    <s v="F"/>
    <x v="4"/>
    <x v="0"/>
    <x v="0"/>
    <x v="1"/>
    <x v="5"/>
    <x v="10"/>
    <x v="2"/>
  </r>
  <r>
    <s v="TX501975"/>
    <x v="18"/>
    <x v="12"/>
    <n v="50.1"/>
    <x v="1519"/>
    <x v="71"/>
    <d v="2025-03-14T00:00:00"/>
    <s v="F"/>
    <x v="4"/>
    <x v="0"/>
    <x v="0"/>
    <x v="1"/>
    <x v="3"/>
    <x v="10"/>
    <x v="2"/>
  </r>
  <r>
    <s v="TX501976"/>
    <x v="9"/>
    <x v="0"/>
    <n v="35.9"/>
    <x v="1520"/>
    <x v="71"/>
    <d v="2025-03-15T00:00:00"/>
    <s v="M"/>
    <x v="1"/>
    <x v="2"/>
    <x v="0"/>
    <x v="1"/>
    <x v="1"/>
    <x v="10"/>
    <x v="1"/>
  </r>
  <r>
    <s v="TX501977"/>
    <x v="13"/>
    <x v="12"/>
    <n v="29.4"/>
    <x v="833"/>
    <x v="72"/>
    <d v="2025-03-15T00:00:00"/>
    <s v="M"/>
    <x v="2"/>
    <x v="2"/>
    <x v="0"/>
    <x v="33"/>
    <x v="3"/>
    <x v="10"/>
    <x v="1"/>
  </r>
  <r>
    <s v="TX501978"/>
    <x v="8"/>
    <x v="9"/>
    <n v="29.1"/>
    <x v="973"/>
    <x v="72"/>
    <d v="2025-03-22T00:00:00"/>
    <s v="O"/>
    <x v="2"/>
    <x v="1"/>
    <x v="0"/>
    <x v="33"/>
    <x v="9"/>
    <x v="10"/>
    <x v="3"/>
  </r>
  <r>
    <s v="TX501979"/>
    <x v="8"/>
    <x v="2"/>
    <n v="33.5"/>
    <x v="427"/>
    <x v="72"/>
    <d v="2025-03-26T00:00:00"/>
    <s v="M"/>
    <x v="0"/>
    <x v="2"/>
    <x v="0"/>
    <x v="22"/>
    <x v="13"/>
    <x v="10"/>
    <x v="1"/>
  </r>
  <r>
    <s v="TX501980"/>
    <x v="4"/>
    <x v="7"/>
    <n v="36"/>
    <x v="1521"/>
    <x v="72"/>
    <d v="2025-03-14T00:00:00"/>
    <s v="M"/>
    <x v="3"/>
    <x v="2"/>
    <x v="0"/>
    <x v="3"/>
    <x v="7"/>
    <x v="10"/>
    <x v="1"/>
  </r>
  <r>
    <s v="TX501981"/>
    <x v="16"/>
    <x v="2"/>
    <n v="57.3"/>
    <x v="1522"/>
    <x v="72"/>
    <d v="2025-03-18T00:00:00"/>
    <s v="F"/>
    <x v="0"/>
    <x v="2"/>
    <x v="0"/>
    <x v="3"/>
    <x v="5"/>
    <x v="10"/>
    <x v="2"/>
  </r>
  <r>
    <s v="TX501982"/>
    <x v="1"/>
    <x v="0"/>
    <n v="81.400000000000006"/>
    <x v="1523"/>
    <x v="72"/>
    <d v="2025-03-15T00:00:00"/>
    <s v="F"/>
    <x v="2"/>
    <x v="2"/>
    <x v="0"/>
    <x v="3"/>
    <x v="3"/>
    <x v="10"/>
    <x v="2"/>
  </r>
  <r>
    <s v="TX501983"/>
    <x v="10"/>
    <x v="1"/>
    <n v="35.299999999999997"/>
    <x v="527"/>
    <x v="72"/>
    <d v="2025-03-18T00:00:00"/>
    <s v="M"/>
    <x v="0"/>
    <x v="2"/>
    <x v="0"/>
    <x v="3"/>
    <x v="5"/>
    <x v="10"/>
    <x v="1"/>
  </r>
  <r>
    <s v="TX501984"/>
    <x v="3"/>
    <x v="0"/>
    <n v="36.1"/>
    <x v="168"/>
    <x v="72"/>
    <d v="2025-03-15T00:00:00"/>
    <s v="F"/>
    <x v="4"/>
    <x v="0"/>
    <x v="0"/>
    <x v="3"/>
    <x v="3"/>
    <x v="10"/>
    <x v="2"/>
  </r>
  <r>
    <s v="TX501985"/>
    <x v="1"/>
    <x v="1"/>
    <n v="36.700000000000003"/>
    <x v="1524"/>
    <x v="72"/>
    <d v="2025-03-16T00:00:00"/>
    <s v="F"/>
    <x v="0"/>
    <x v="2"/>
    <x v="0"/>
    <x v="3"/>
    <x v="1"/>
    <x v="10"/>
    <x v="2"/>
  </r>
  <r>
    <s v="TX501986"/>
    <x v="10"/>
    <x v="0"/>
    <n v="20.9"/>
    <x v="798"/>
    <x v="72"/>
    <d v="2025-03-16T00:00:00"/>
    <s v="F"/>
    <x v="0"/>
    <x v="4"/>
    <x v="0"/>
    <x v="3"/>
    <x v="1"/>
    <x v="10"/>
    <x v="2"/>
  </r>
  <r>
    <s v="TX501987"/>
    <x v="12"/>
    <x v="2"/>
    <n v="58.8"/>
    <x v="1525"/>
    <x v="72"/>
    <d v="2025-03-18T00:00:00"/>
    <s v="M"/>
    <x v="0"/>
    <x v="2"/>
    <x v="0"/>
    <x v="25"/>
    <x v="5"/>
    <x v="10"/>
    <x v="1"/>
  </r>
  <r>
    <s v="TX501988"/>
    <x v="2"/>
    <x v="2"/>
    <n v="97.6"/>
    <x v="1526"/>
    <x v="73"/>
    <d v="2025-03-17T00:00:00"/>
    <s v=""/>
    <x v="0"/>
    <x v="0"/>
    <x v="0"/>
    <x v="6"/>
    <x v="1"/>
    <x v="10"/>
    <x v="0"/>
  </r>
  <r>
    <s v="TX501989"/>
    <x v="1"/>
    <x v="1"/>
    <n v="58.7"/>
    <x v="1527"/>
    <x v="73"/>
    <d v="2025-03-18T00:00:00"/>
    <s v="F"/>
    <x v="0"/>
    <x v="1"/>
    <x v="0"/>
    <x v="6"/>
    <x v="2"/>
    <x v="10"/>
    <x v="2"/>
  </r>
  <r>
    <s v="TX501990"/>
    <x v="6"/>
    <x v="9"/>
    <n v="71.900000000000006"/>
    <x v="1528"/>
    <x v="73"/>
    <d v="2025-03-16T00:00:00"/>
    <s v=""/>
    <x v="0"/>
    <x v="1"/>
    <x v="0"/>
    <x v="6"/>
    <x v="3"/>
    <x v="10"/>
    <x v="0"/>
  </r>
  <r>
    <s v="TX501991"/>
    <x v="1"/>
    <x v="1"/>
    <n v="62.4"/>
    <x v="1109"/>
    <x v="73"/>
    <d v="2025-03-17T00:00:00"/>
    <s v=""/>
    <x v="0"/>
    <x v="1"/>
    <x v="0"/>
    <x v="8"/>
    <x v="1"/>
    <x v="10"/>
    <x v="0"/>
  </r>
  <r>
    <s v="TX501992"/>
    <x v="6"/>
    <x v="27"/>
    <n v="53.8"/>
    <x v="1529"/>
    <x v="73"/>
    <d v="2025-03-16T00:00:00"/>
    <s v="F"/>
    <x v="1"/>
    <x v="0"/>
    <x v="0"/>
    <x v="8"/>
    <x v="3"/>
    <x v="10"/>
    <x v="2"/>
  </r>
  <r>
    <s v="TX501993"/>
    <x v="9"/>
    <x v="0"/>
    <n v="43.8"/>
    <x v="328"/>
    <x v="73"/>
    <d v="2025-03-22T00:00:00"/>
    <s v="F"/>
    <x v="0"/>
    <x v="2"/>
    <x v="0"/>
    <x v="8"/>
    <x v="6"/>
    <x v="10"/>
    <x v="2"/>
  </r>
  <r>
    <s v="TX501994"/>
    <x v="5"/>
    <x v="2"/>
    <n v="53.6"/>
    <x v="1530"/>
    <x v="73"/>
    <d v="2025-03-16T00:00:00"/>
    <s v="M"/>
    <x v="3"/>
    <x v="0"/>
    <x v="0"/>
    <x v="8"/>
    <x v="3"/>
    <x v="10"/>
    <x v="1"/>
  </r>
  <r>
    <s v="TX501995"/>
    <x v="12"/>
    <x v="1"/>
    <n v="84.3"/>
    <x v="1531"/>
    <x v="73"/>
    <d v="2025-03-18T00:00:00"/>
    <s v="M"/>
    <x v="4"/>
    <x v="1"/>
    <x v="0"/>
    <x v="8"/>
    <x v="2"/>
    <x v="10"/>
    <x v="1"/>
  </r>
  <r>
    <s v="TX501996"/>
    <x v="6"/>
    <x v="11"/>
    <n v="117.9"/>
    <x v="1532"/>
    <x v="73"/>
    <d v="2025-03-16T00:00:00"/>
    <s v="F"/>
    <x v="1"/>
    <x v="2"/>
    <x v="0"/>
    <x v="8"/>
    <x v="3"/>
    <x v="10"/>
    <x v="2"/>
  </r>
  <r>
    <s v="TX501997"/>
    <x v="4"/>
    <x v="8"/>
    <n v="30"/>
    <x v="1533"/>
    <x v="73"/>
    <d v="2025-03-16T00:00:00"/>
    <s v="F"/>
    <x v="1"/>
    <x v="0"/>
    <x v="0"/>
    <x v="26"/>
    <x v="3"/>
    <x v="10"/>
    <x v="2"/>
  </r>
  <r>
    <s v="TX501998"/>
    <x v="14"/>
    <x v="2"/>
    <n v="37.299999999999997"/>
    <x v="1534"/>
    <x v="73"/>
    <d v="2025-03-16T00:00:00"/>
    <s v="M"/>
    <x v="2"/>
    <x v="0"/>
    <x v="0"/>
    <x v="9"/>
    <x v="3"/>
    <x v="10"/>
    <x v="1"/>
  </r>
  <r>
    <s v="TX501999"/>
    <x v="4"/>
    <x v="11"/>
    <n v="25.1"/>
    <x v="1535"/>
    <x v="73"/>
    <d v="2025-03-17T00:00:00"/>
    <s v="M"/>
    <x v="1"/>
    <x v="2"/>
    <x v="0"/>
    <x v="11"/>
    <x v="1"/>
    <x v="10"/>
    <x v="1"/>
  </r>
  <r>
    <s v="TX502000"/>
    <x v="8"/>
    <x v="5"/>
    <n v="36"/>
    <x v="501"/>
    <x v="73"/>
    <d v="2025-03-25T00:00:00"/>
    <s v="M"/>
    <x v="1"/>
    <x v="0"/>
    <x v="0"/>
    <x v="18"/>
    <x v="14"/>
    <x v="10"/>
    <x v="1"/>
  </r>
  <r>
    <s v="TX502001"/>
    <x v="16"/>
    <x v="2"/>
    <n v="48.5"/>
    <x v="973"/>
    <x v="73"/>
    <d v="2025-03-19T00:00:00"/>
    <s v="F"/>
    <x v="1"/>
    <x v="0"/>
    <x v="0"/>
    <x v="19"/>
    <x v="5"/>
    <x v="10"/>
    <x v="2"/>
  </r>
  <r>
    <s v="TX502002"/>
    <x v="17"/>
    <x v="13"/>
    <n v="21.1"/>
    <x v="1077"/>
    <x v="73"/>
    <d v="2025-03-16T00:00:00"/>
    <s v="M"/>
    <x v="1"/>
    <x v="2"/>
    <x v="0"/>
    <x v="21"/>
    <x v="3"/>
    <x v="10"/>
    <x v="1"/>
  </r>
  <r>
    <s v="TX502003"/>
    <x v="15"/>
    <x v="21"/>
    <n v="43.2"/>
    <x v="1536"/>
    <x v="73"/>
    <d v="2025-03-16T00:00:00"/>
    <s v="O"/>
    <x v="0"/>
    <x v="1"/>
    <x v="0"/>
    <x v="21"/>
    <x v="3"/>
    <x v="10"/>
    <x v="3"/>
  </r>
  <r>
    <s v="TX502004"/>
    <x v="9"/>
    <x v="1"/>
    <n v="21.1"/>
    <x v="1283"/>
    <x v="73"/>
    <d v="2025-03-16T00:00:00"/>
    <s v=""/>
    <x v="3"/>
    <x v="1"/>
    <x v="0"/>
    <x v="21"/>
    <x v="3"/>
    <x v="10"/>
    <x v="0"/>
  </r>
  <r>
    <s v="TX502005"/>
    <x v="6"/>
    <x v="12"/>
    <n v="41.3"/>
    <x v="1537"/>
    <x v="73"/>
    <d v="2025-03-17T00:00:00"/>
    <s v="F"/>
    <x v="3"/>
    <x v="2"/>
    <x v="0"/>
    <x v="1"/>
    <x v="1"/>
    <x v="10"/>
    <x v="2"/>
  </r>
  <r>
    <s v="TX502006"/>
    <x v="8"/>
    <x v="1"/>
    <n v="15.3"/>
    <x v="1538"/>
    <x v="73"/>
    <d v="2025-03-18T00:00:00"/>
    <s v=""/>
    <x v="2"/>
    <x v="2"/>
    <x v="0"/>
    <x v="1"/>
    <x v="2"/>
    <x v="10"/>
    <x v="0"/>
  </r>
  <r>
    <s v="TX502007"/>
    <x v="1"/>
    <x v="0"/>
    <n v="54.6"/>
    <x v="1539"/>
    <x v="73"/>
    <d v="2025-03-17T00:00:00"/>
    <s v="M"/>
    <x v="1"/>
    <x v="1"/>
    <x v="0"/>
    <x v="2"/>
    <x v="1"/>
    <x v="10"/>
    <x v="1"/>
  </r>
  <r>
    <s v="TX502008"/>
    <x v="8"/>
    <x v="0"/>
    <n v="15.9"/>
    <x v="1021"/>
    <x v="73"/>
    <d v="2025-03-16T00:00:00"/>
    <s v="M"/>
    <x v="0"/>
    <x v="1"/>
    <x v="0"/>
    <x v="22"/>
    <x v="3"/>
    <x v="10"/>
    <x v="1"/>
  </r>
  <r>
    <s v="TX502009"/>
    <x v="9"/>
    <x v="0"/>
    <n v="50.2"/>
    <x v="486"/>
    <x v="73"/>
    <d v="2025-03-17T00:00:00"/>
    <s v="F"/>
    <x v="3"/>
    <x v="2"/>
    <x v="0"/>
    <x v="34"/>
    <x v="1"/>
    <x v="10"/>
    <x v="2"/>
  </r>
  <r>
    <s v="TX502010"/>
    <x v="11"/>
    <x v="12"/>
    <n v="85.1"/>
    <x v="1540"/>
    <x v="73"/>
    <d v="2025-03-16T00:00:00"/>
    <s v="F"/>
    <x v="3"/>
    <x v="4"/>
    <x v="0"/>
    <x v="34"/>
    <x v="3"/>
    <x v="10"/>
    <x v="2"/>
  </r>
  <r>
    <s v="TX502011"/>
    <x v="11"/>
    <x v="1"/>
    <n v="41.4"/>
    <x v="1182"/>
    <x v="73"/>
    <d v="2025-03-16T00:00:00"/>
    <s v="F"/>
    <x v="0"/>
    <x v="2"/>
    <x v="0"/>
    <x v="3"/>
    <x v="3"/>
    <x v="10"/>
    <x v="2"/>
  </r>
  <r>
    <s v="TX502012"/>
    <x v="4"/>
    <x v="3"/>
    <n v="32.700000000000003"/>
    <x v="1541"/>
    <x v="73"/>
    <d v="2025-03-16T00:00:00"/>
    <s v="F"/>
    <x v="2"/>
    <x v="1"/>
    <x v="0"/>
    <x v="3"/>
    <x v="3"/>
    <x v="10"/>
    <x v="2"/>
  </r>
  <r>
    <s v="TX502013"/>
    <x v="4"/>
    <x v="1"/>
    <n v="41.6"/>
    <x v="707"/>
    <x v="73"/>
    <d v="2025-03-17T00:00:00"/>
    <s v="M"/>
    <x v="4"/>
    <x v="1"/>
    <x v="0"/>
    <x v="3"/>
    <x v="1"/>
    <x v="10"/>
    <x v="1"/>
  </r>
  <r>
    <s v="TX502014"/>
    <x v="5"/>
    <x v="12"/>
    <n v="64.8"/>
    <x v="629"/>
    <x v="73"/>
    <d v="2025-03-16T00:00:00"/>
    <s v=""/>
    <x v="2"/>
    <x v="0"/>
    <x v="0"/>
    <x v="3"/>
    <x v="3"/>
    <x v="10"/>
    <x v="0"/>
  </r>
  <r>
    <s v="TX502015"/>
    <x v="15"/>
    <x v="1"/>
    <n v="33.6"/>
    <x v="863"/>
    <x v="73"/>
    <d v="2025-03-16T00:00:00"/>
    <s v="M"/>
    <x v="0"/>
    <x v="2"/>
    <x v="0"/>
    <x v="3"/>
    <x v="3"/>
    <x v="10"/>
    <x v="1"/>
  </r>
  <r>
    <s v="TX502016"/>
    <x v="6"/>
    <x v="2"/>
    <n v="100.7"/>
    <x v="1542"/>
    <x v="73"/>
    <d v="2025-03-16T00:00:00"/>
    <s v=""/>
    <x v="1"/>
    <x v="0"/>
    <x v="0"/>
    <x v="3"/>
    <x v="3"/>
    <x v="10"/>
    <x v="0"/>
  </r>
  <r>
    <s v="TX502017"/>
    <x v="4"/>
    <x v="1"/>
    <n v="49.3"/>
    <x v="1543"/>
    <x v="74"/>
    <d v="2025-03-18T00:00:00"/>
    <s v="F"/>
    <x v="4"/>
    <x v="2"/>
    <x v="0"/>
    <x v="3"/>
    <x v="1"/>
    <x v="11"/>
    <x v="2"/>
  </r>
  <r>
    <s v="TX502018"/>
    <x v="2"/>
    <x v="13"/>
    <n v="97"/>
    <x v="1544"/>
    <x v="74"/>
    <d v="2025-03-19T00:00:00"/>
    <s v="M"/>
    <x v="2"/>
    <x v="2"/>
    <x v="0"/>
    <x v="3"/>
    <x v="2"/>
    <x v="11"/>
    <x v="1"/>
  </r>
  <r>
    <s v="TX502019"/>
    <x v="0"/>
    <x v="13"/>
    <n v="25.2"/>
    <x v="277"/>
    <x v="74"/>
    <d v="2025-03-19T00:00:00"/>
    <s v="F"/>
    <x v="4"/>
    <x v="2"/>
    <x v="0"/>
    <x v="3"/>
    <x v="2"/>
    <x v="11"/>
    <x v="2"/>
  </r>
  <r>
    <s v="TX502020"/>
    <x v="0"/>
    <x v="5"/>
    <n v="12.2"/>
    <x v="1545"/>
    <x v="74"/>
    <d v="2025-03-17T00:00:00"/>
    <s v=""/>
    <x v="0"/>
    <x v="1"/>
    <x v="0"/>
    <x v="3"/>
    <x v="3"/>
    <x v="11"/>
    <x v="0"/>
  </r>
  <r>
    <s v="TX502021"/>
    <x v="8"/>
    <x v="3"/>
    <n v="38.799999999999997"/>
    <x v="1546"/>
    <x v="74"/>
    <d v="2025-03-18T00:00:00"/>
    <s v="F"/>
    <x v="1"/>
    <x v="1"/>
    <x v="0"/>
    <x v="23"/>
    <x v="1"/>
    <x v="11"/>
    <x v="2"/>
  </r>
  <r>
    <s v="TX502022"/>
    <x v="2"/>
    <x v="12"/>
    <n v="53.2"/>
    <x v="1547"/>
    <x v="74"/>
    <d v="2025-03-17T00:00:00"/>
    <s v="M"/>
    <x v="0"/>
    <x v="2"/>
    <x v="0"/>
    <x v="8"/>
    <x v="3"/>
    <x v="11"/>
    <x v="1"/>
  </r>
  <r>
    <s v="TX502023"/>
    <x v="6"/>
    <x v="3"/>
    <n v="151"/>
    <x v="1548"/>
    <x v="74"/>
    <d v="2025-03-17T00:00:00"/>
    <s v="O"/>
    <x v="1"/>
    <x v="1"/>
    <x v="0"/>
    <x v="8"/>
    <x v="3"/>
    <x v="11"/>
    <x v="3"/>
  </r>
  <r>
    <s v="TX502024"/>
    <x v="1"/>
    <x v="1"/>
    <n v="37.1"/>
    <x v="1314"/>
    <x v="74"/>
    <d v="2025-03-17T00:00:00"/>
    <s v="F"/>
    <x v="4"/>
    <x v="0"/>
    <x v="0"/>
    <x v="8"/>
    <x v="3"/>
    <x v="11"/>
    <x v="2"/>
  </r>
  <r>
    <s v="TX502025"/>
    <x v="5"/>
    <x v="1"/>
    <n v="38.9"/>
    <x v="482"/>
    <x v="74"/>
    <d v="2025-03-17T00:00:00"/>
    <s v="M"/>
    <x v="4"/>
    <x v="0"/>
    <x v="0"/>
    <x v="8"/>
    <x v="3"/>
    <x v="11"/>
    <x v="1"/>
  </r>
  <r>
    <s v="TX502026"/>
    <x v="10"/>
    <x v="1"/>
    <n v="35.200000000000003"/>
    <x v="1549"/>
    <x v="74"/>
    <d v="2025-03-17T00:00:00"/>
    <s v="M"/>
    <x v="0"/>
    <x v="2"/>
    <x v="0"/>
    <x v="17"/>
    <x v="3"/>
    <x v="11"/>
    <x v="1"/>
  </r>
  <r>
    <s v="TX502027"/>
    <x v="0"/>
    <x v="1"/>
    <n v="22.3"/>
    <x v="225"/>
    <x v="74"/>
    <d v="2025-03-18T00:00:00"/>
    <s v="F"/>
    <x v="1"/>
    <x v="0"/>
    <x v="0"/>
    <x v="9"/>
    <x v="1"/>
    <x v="11"/>
    <x v="2"/>
  </r>
  <r>
    <s v="TX502028"/>
    <x v="9"/>
    <x v="0"/>
    <n v="43.3"/>
    <x v="1286"/>
    <x v="74"/>
    <d v="2025-03-19T00:00:00"/>
    <s v="F"/>
    <x v="0"/>
    <x v="2"/>
    <x v="0"/>
    <x v="11"/>
    <x v="2"/>
    <x v="11"/>
    <x v="2"/>
  </r>
  <r>
    <s v="TX502029"/>
    <x v="6"/>
    <x v="13"/>
    <n v="75.900000000000006"/>
    <x v="1550"/>
    <x v="74"/>
    <d v="2025-03-22T00:00:00"/>
    <s v="M"/>
    <x v="0"/>
    <x v="0"/>
    <x v="0"/>
    <x v="11"/>
    <x v="4"/>
    <x v="11"/>
    <x v="1"/>
  </r>
  <r>
    <s v="TX502030"/>
    <x v="6"/>
    <x v="2"/>
    <n v="78.7"/>
    <x v="1551"/>
    <x v="74"/>
    <d v="2025-03-20T00:00:00"/>
    <s v="F"/>
    <x v="2"/>
    <x v="1"/>
    <x v="0"/>
    <x v="11"/>
    <x v="5"/>
    <x v="11"/>
    <x v="2"/>
  </r>
  <r>
    <s v="TX502031"/>
    <x v="1"/>
    <x v="0"/>
    <n v="66.3"/>
    <x v="1124"/>
    <x v="74"/>
    <d v="2025-03-20T00:00:00"/>
    <s v="F"/>
    <x v="0"/>
    <x v="2"/>
    <x v="0"/>
    <x v="19"/>
    <x v="5"/>
    <x v="11"/>
    <x v="2"/>
  </r>
  <r>
    <s v="TX502032"/>
    <x v="8"/>
    <x v="1"/>
    <n v="33.6"/>
    <x v="863"/>
    <x v="74"/>
    <d v="2025-03-16T00:00:00"/>
    <s v="M"/>
    <x v="0"/>
    <x v="1"/>
    <x v="0"/>
    <x v="19"/>
    <x v="7"/>
    <x v="11"/>
    <x v="1"/>
  </r>
  <r>
    <s v="TX502033"/>
    <x v="2"/>
    <x v="3"/>
    <n v="61.4"/>
    <x v="1552"/>
    <x v="74"/>
    <d v="2025-03-17T00:00:00"/>
    <s v="M"/>
    <x v="4"/>
    <x v="0"/>
    <x v="0"/>
    <x v="19"/>
    <x v="3"/>
    <x v="11"/>
    <x v="1"/>
  </r>
  <r>
    <s v="TX502034"/>
    <x v="8"/>
    <x v="1"/>
    <n v="17.5"/>
    <x v="1553"/>
    <x v="74"/>
    <d v="2025-03-19T00:00:00"/>
    <s v="F"/>
    <x v="0"/>
    <x v="0"/>
    <x v="0"/>
    <x v="21"/>
    <x v="2"/>
    <x v="11"/>
    <x v="2"/>
  </r>
  <r>
    <s v="TX502035"/>
    <x v="8"/>
    <x v="1"/>
    <n v="32.5"/>
    <x v="891"/>
    <x v="74"/>
    <d v="2025-03-19T00:00:00"/>
    <s v="F"/>
    <x v="1"/>
    <x v="0"/>
    <x v="0"/>
    <x v="21"/>
    <x v="2"/>
    <x v="11"/>
    <x v="2"/>
  </r>
  <r>
    <s v="TX502036"/>
    <x v="4"/>
    <x v="0"/>
    <n v="34.6"/>
    <x v="169"/>
    <x v="74"/>
    <d v="2025-03-17T00:00:00"/>
    <s v="F"/>
    <x v="4"/>
    <x v="0"/>
    <x v="0"/>
    <x v="21"/>
    <x v="3"/>
    <x v="11"/>
    <x v="2"/>
  </r>
  <r>
    <s v="TX502037"/>
    <x v="2"/>
    <x v="0"/>
    <n v="75.900000000000006"/>
    <x v="1554"/>
    <x v="74"/>
    <d v="2025-03-16T00:00:00"/>
    <s v="M"/>
    <x v="1"/>
    <x v="2"/>
    <x v="0"/>
    <x v="21"/>
    <x v="7"/>
    <x v="11"/>
    <x v="1"/>
  </r>
  <r>
    <s v="TX502038"/>
    <x v="1"/>
    <x v="2"/>
    <n v="42.1"/>
    <x v="1555"/>
    <x v="74"/>
    <d v="2025-03-19T00:00:00"/>
    <s v="M"/>
    <x v="1"/>
    <x v="1"/>
    <x v="0"/>
    <x v="21"/>
    <x v="2"/>
    <x v="11"/>
    <x v="1"/>
  </r>
  <r>
    <s v="TX502039"/>
    <x v="7"/>
    <x v="2"/>
    <n v="65.3"/>
    <x v="243"/>
    <x v="74"/>
    <d v="2025-03-23T00:00:00"/>
    <s v="M"/>
    <x v="0"/>
    <x v="0"/>
    <x v="0"/>
    <x v="1"/>
    <x v="6"/>
    <x v="11"/>
    <x v="1"/>
  </r>
  <r>
    <s v="TX502040"/>
    <x v="15"/>
    <x v="0"/>
    <n v="20.6"/>
    <x v="1500"/>
    <x v="74"/>
    <d v="2025-03-19T00:00:00"/>
    <s v="M"/>
    <x v="3"/>
    <x v="0"/>
    <x v="0"/>
    <x v="42"/>
    <x v="2"/>
    <x v="11"/>
    <x v="1"/>
  </r>
  <r>
    <s v="TX502041"/>
    <x v="8"/>
    <x v="3"/>
    <n v="16.5"/>
    <x v="100"/>
    <x v="74"/>
    <d v="2025-03-17T00:00:00"/>
    <s v="M"/>
    <x v="1"/>
    <x v="1"/>
    <x v="0"/>
    <x v="2"/>
    <x v="3"/>
    <x v="11"/>
    <x v="1"/>
  </r>
  <r>
    <s v="TX502042"/>
    <x v="16"/>
    <x v="7"/>
    <n v="36.200000000000003"/>
    <x v="1556"/>
    <x v="74"/>
    <d v="2025-03-18T00:00:00"/>
    <s v="M"/>
    <x v="0"/>
    <x v="2"/>
    <x v="0"/>
    <x v="2"/>
    <x v="1"/>
    <x v="11"/>
    <x v="1"/>
  </r>
  <r>
    <s v="TX502043"/>
    <x v="6"/>
    <x v="0"/>
    <n v="53.2"/>
    <x v="1557"/>
    <x v="74"/>
    <d v="2025-03-17T00:00:00"/>
    <s v="F"/>
    <x v="0"/>
    <x v="1"/>
    <x v="0"/>
    <x v="22"/>
    <x v="3"/>
    <x v="11"/>
    <x v="2"/>
  </r>
  <r>
    <s v="TX502044"/>
    <x v="2"/>
    <x v="21"/>
    <n v="176"/>
    <x v="1558"/>
    <x v="74"/>
    <d v="2025-03-17T00:00:00"/>
    <s v="F"/>
    <x v="0"/>
    <x v="1"/>
    <x v="0"/>
    <x v="3"/>
    <x v="3"/>
    <x v="11"/>
    <x v="2"/>
  </r>
  <r>
    <s v="TX502045"/>
    <x v="1"/>
    <x v="0"/>
    <n v="52.4"/>
    <x v="1559"/>
    <x v="74"/>
    <d v="2025-03-17T00:00:00"/>
    <s v="M"/>
    <x v="1"/>
    <x v="0"/>
    <x v="0"/>
    <x v="3"/>
    <x v="3"/>
    <x v="11"/>
    <x v="1"/>
  </r>
  <r>
    <s v="TX502046"/>
    <x v="10"/>
    <x v="2"/>
    <n v="48.2"/>
    <x v="1435"/>
    <x v="74"/>
    <d v="2025-03-17T00:00:00"/>
    <s v="F"/>
    <x v="1"/>
    <x v="2"/>
    <x v="0"/>
    <x v="3"/>
    <x v="3"/>
    <x v="11"/>
    <x v="2"/>
  </r>
  <r>
    <s v="TX502047"/>
    <x v="15"/>
    <x v="0"/>
    <n v="51.6"/>
    <x v="937"/>
    <x v="74"/>
    <d v="2025-03-20T00:00:00"/>
    <s v="F"/>
    <x v="2"/>
    <x v="1"/>
    <x v="0"/>
    <x v="3"/>
    <x v="5"/>
    <x v="11"/>
    <x v="2"/>
  </r>
  <r>
    <s v="TX502048"/>
    <x v="0"/>
    <x v="12"/>
    <n v="33.700000000000003"/>
    <x v="1093"/>
    <x v="75"/>
    <d v="2025-03-18T00:00:00"/>
    <s v="M"/>
    <x v="0"/>
    <x v="0"/>
    <x v="0"/>
    <x v="3"/>
    <x v="3"/>
    <x v="11"/>
    <x v="1"/>
  </r>
  <r>
    <s v="TX502049"/>
    <x v="4"/>
    <x v="7"/>
    <n v="36.299999999999997"/>
    <x v="1560"/>
    <x v="75"/>
    <d v="2025-03-19T00:00:00"/>
    <s v="F"/>
    <x v="4"/>
    <x v="1"/>
    <x v="0"/>
    <x v="3"/>
    <x v="1"/>
    <x v="11"/>
    <x v="2"/>
  </r>
  <r>
    <s v="TX502050"/>
    <x v="8"/>
    <x v="0"/>
    <n v="23.4"/>
    <x v="1561"/>
    <x v="75"/>
    <d v="2025-03-22T00:00:00"/>
    <s v="F"/>
    <x v="1"/>
    <x v="2"/>
    <x v="0"/>
    <x v="3"/>
    <x v="0"/>
    <x v="11"/>
    <x v="2"/>
  </r>
  <r>
    <s v="TX502051"/>
    <x v="15"/>
    <x v="8"/>
    <n v="56.6"/>
    <x v="1562"/>
    <x v="75"/>
    <d v="2025-03-19T00:00:00"/>
    <s v="F"/>
    <x v="1"/>
    <x v="0"/>
    <x v="0"/>
    <x v="3"/>
    <x v="1"/>
    <x v="11"/>
    <x v="2"/>
  </r>
  <r>
    <s v="TX502052"/>
    <x v="15"/>
    <x v="1"/>
    <n v="26.8"/>
    <x v="1563"/>
    <x v="75"/>
    <d v="2025-03-18T00:00:00"/>
    <s v="M"/>
    <x v="0"/>
    <x v="0"/>
    <x v="0"/>
    <x v="4"/>
    <x v="3"/>
    <x v="11"/>
    <x v="1"/>
  </r>
  <r>
    <s v="TX502053"/>
    <x v="0"/>
    <x v="2"/>
    <n v="11.3"/>
    <x v="1564"/>
    <x v="75"/>
    <d v="2025-03-19T00:00:00"/>
    <s v="M"/>
    <x v="2"/>
    <x v="0"/>
    <x v="0"/>
    <x v="25"/>
    <x v="1"/>
    <x v="11"/>
    <x v="1"/>
  </r>
  <r>
    <s v="TX502054"/>
    <x v="6"/>
    <x v="2"/>
    <n v="60.1"/>
    <x v="1565"/>
    <x v="75"/>
    <d v="2025-03-20T00:00:00"/>
    <s v="F"/>
    <x v="0"/>
    <x v="0"/>
    <x v="0"/>
    <x v="7"/>
    <x v="2"/>
    <x v="11"/>
    <x v="2"/>
  </r>
  <r>
    <s v="TX502055"/>
    <x v="0"/>
    <x v="5"/>
    <n v="27.7"/>
    <x v="1566"/>
    <x v="75"/>
    <d v="2025-03-22T00:00:00"/>
    <s v="F"/>
    <x v="0"/>
    <x v="0"/>
    <x v="0"/>
    <x v="8"/>
    <x v="0"/>
    <x v="11"/>
    <x v="2"/>
  </r>
  <r>
    <s v="TX502056"/>
    <x v="15"/>
    <x v="0"/>
    <n v="71.400000000000006"/>
    <x v="660"/>
    <x v="75"/>
    <d v="2025-03-20T00:00:00"/>
    <s v="M"/>
    <x v="0"/>
    <x v="2"/>
    <x v="0"/>
    <x v="8"/>
    <x v="2"/>
    <x v="11"/>
    <x v="1"/>
  </r>
  <r>
    <s v="TX502057"/>
    <x v="2"/>
    <x v="1"/>
    <n v="66.7"/>
    <x v="1567"/>
    <x v="75"/>
    <d v="2025-03-18T00:00:00"/>
    <s v="F"/>
    <x v="0"/>
    <x v="2"/>
    <x v="0"/>
    <x v="8"/>
    <x v="3"/>
    <x v="11"/>
    <x v="2"/>
  </r>
  <r>
    <s v="TX502058"/>
    <x v="13"/>
    <x v="9"/>
    <n v="39.1"/>
    <x v="1568"/>
    <x v="75"/>
    <d v="2025-03-18T00:00:00"/>
    <s v="F"/>
    <x v="0"/>
    <x v="0"/>
    <x v="0"/>
    <x v="8"/>
    <x v="3"/>
    <x v="11"/>
    <x v="2"/>
  </r>
  <r>
    <s v="TX502059"/>
    <x v="8"/>
    <x v="12"/>
    <n v="24.9"/>
    <x v="1569"/>
    <x v="75"/>
    <d v="2025-03-22T00:00:00"/>
    <s v="M"/>
    <x v="1"/>
    <x v="2"/>
    <x v="0"/>
    <x v="8"/>
    <x v="0"/>
    <x v="11"/>
    <x v="1"/>
  </r>
  <r>
    <s v="TX502060"/>
    <x v="5"/>
    <x v="9"/>
    <n v="29.2"/>
    <x v="1570"/>
    <x v="75"/>
    <d v="2025-03-18T00:00:00"/>
    <s v="M"/>
    <x v="0"/>
    <x v="2"/>
    <x v="0"/>
    <x v="17"/>
    <x v="3"/>
    <x v="11"/>
    <x v="1"/>
  </r>
  <r>
    <s v="TX502061"/>
    <x v="13"/>
    <x v="21"/>
    <n v="28.3"/>
    <x v="1571"/>
    <x v="75"/>
    <d v="2025-03-19T00:00:00"/>
    <s v="F"/>
    <x v="1"/>
    <x v="0"/>
    <x v="0"/>
    <x v="11"/>
    <x v="1"/>
    <x v="11"/>
    <x v="2"/>
  </r>
  <r>
    <s v="TX502062"/>
    <x v="9"/>
    <x v="2"/>
    <n v="37.799999999999997"/>
    <x v="1413"/>
    <x v="75"/>
    <d v="2025-03-18T00:00:00"/>
    <s v="F"/>
    <x v="0"/>
    <x v="1"/>
    <x v="0"/>
    <x v="11"/>
    <x v="3"/>
    <x v="11"/>
    <x v="2"/>
  </r>
  <r>
    <s v="TX502063"/>
    <x v="14"/>
    <x v="3"/>
    <n v="28.1"/>
    <x v="1572"/>
    <x v="75"/>
    <d v="2025-03-23T00:00:00"/>
    <s v="F"/>
    <x v="2"/>
    <x v="0"/>
    <x v="0"/>
    <x v="11"/>
    <x v="4"/>
    <x v="11"/>
    <x v="2"/>
  </r>
  <r>
    <s v="TX502064"/>
    <x v="1"/>
    <x v="2"/>
    <n v="59.7"/>
    <x v="1573"/>
    <x v="75"/>
    <d v="2025-03-19T00:00:00"/>
    <s v="F"/>
    <x v="2"/>
    <x v="0"/>
    <x v="0"/>
    <x v="11"/>
    <x v="1"/>
    <x v="11"/>
    <x v="2"/>
  </r>
  <r>
    <s v="TX502065"/>
    <x v="16"/>
    <x v="0"/>
    <n v="71.900000000000006"/>
    <x v="1574"/>
    <x v="75"/>
    <d v="2025-03-18T00:00:00"/>
    <s v="M"/>
    <x v="1"/>
    <x v="1"/>
    <x v="0"/>
    <x v="11"/>
    <x v="3"/>
    <x v="11"/>
    <x v="1"/>
  </r>
  <r>
    <s v="TX502066"/>
    <x v="1"/>
    <x v="1"/>
    <n v="56.9"/>
    <x v="1575"/>
    <x v="75"/>
    <d v="2025-03-18T00:00:00"/>
    <s v="M"/>
    <x v="2"/>
    <x v="0"/>
    <x v="0"/>
    <x v="13"/>
    <x v="3"/>
    <x v="11"/>
    <x v="1"/>
  </r>
  <r>
    <s v="TX502067"/>
    <x v="8"/>
    <x v="1"/>
    <n v="15.8"/>
    <x v="35"/>
    <x v="75"/>
    <d v="2025-03-20T00:00:00"/>
    <s v="F"/>
    <x v="2"/>
    <x v="1"/>
    <x v="0"/>
    <x v="1"/>
    <x v="2"/>
    <x v="11"/>
    <x v="2"/>
  </r>
  <r>
    <s v="TX502068"/>
    <x v="11"/>
    <x v="12"/>
    <n v="61.7"/>
    <x v="1576"/>
    <x v="75"/>
    <d v="2025-03-19T00:00:00"/>
    <s v="F"/>
    <x v="2"/>
    <x v="0"/>
    <x v="0"/>
    <x v="22"/>
    <x v="1"/>
    <x v="11"/>
    <x v="2"/>
  </r>
  <r>
    <s v="TX502069"/>
    <x v="2"/>
    <x v="7"/>
    <n v="105.2"/>
    <x v="1577"/>
    <x v="75"/>
    <d v="2025-03-19T00:00:00"/>
    <s v="M"/>
    <x v="1"/>
    <x v="4"/>
    <x v="0"/>
    <x v="3"/>
    <x v="1"/>
    <x v="11"/>
    <x v="1"/>
  </r>
  <r>
    <s v="TX502070"/>
    <x v="0"/>
    <x v="1"/>
    <n v="17"/>
    <x v="1222"/>
    <x v="75"/>
    <d v="2025-03-19T00:00:00"/>
    <s v="F"/>
    <x v="2"/>
    <x v="0"/>
    <x v="0"/>
    <x v="3"/>
    <x v="1"/>
    <x v="11"/>
    <x v="2"/>
  </r>
  <r>
    <s v="TX502071"/>
    <x v="6"/>
    <x v="2"/>
    <n v="84.1"/>
    <x v="1578"/>
    <x v="75"/>
    <d v="2025-03-18T00:00:00"/>
    <s v="M"/>
    <x v="2"/>
    <x v="0"/>
    <x v="0"/>
    <x v="3"/>
    <x v="3"/>
    <x v="11"/>
    <x v="1"/>
  </r>
  <r>
    <s v="TX502072"/>
    <x v="3"/>
    <x v="12"/>
    <n v="59.5"/>
    <x v="1248"/>
    <x v="75"/>
    <d v="2025-03-22T00:00:00"/>
    <s v="M"/>
    <x v="0"/>
    <x v="2"/>
    <x v="0"/>
    <x v="3"/>
    <x v="0"/>
    <x v="11"/>
    <x v="1"/>
  </r>
  <r>
    <s v="TX502073"/>
    <x v="8"/>
    <x v="1"/>
    <n v="57.5"/>
    <x v="1579"/>
    <x v="75"/>
    <d v="2025-03-19T00:00:00"/>
    <s v="M"/>
    <x v="1"/>
    <x v="2"/>
    <x v="0"/>
    <x v="3"/>
    <x v="1"/>
    <x v="11"/>
    <x v="1"/>
  </r>
  <r>
    <s v="TX502074"/>
    <x v="8"/>
    <x v="0"/>
    <n v="34.299999999999997"/>
    <x v="1580"/>
    <x v="75"/>
    <d v="2025-03-18T00:00:00"/>
    <s v="F"/>
    <x v="4"/>
    <x v="2"/>
    <x v="0"/>
    <x v="3"/>
    <x v="3"/>
    <x v="11"/>
    <x v="2"/>
  </r>
  <r>
    <s v="TX502075"/>
    <x v="5"/>
    <x v="1"/>
    <n v="27.8"/>
    <x v="1581"/>
    <x v="76"/>
    <d v="2025-03-20T00:00:00"/>
    <s v="F"/>
    <x v="0"/>
    <x v="0"/>
    <x v="0"/>
    <x v="3"/>
    <x v="1"/>
    <x v="11"/>
    <x v="2"/>
  </r>
  <r>
    <s v="TX502076"/>
    <x v="12"/>
    <x v="1"/>
    <n v="85"/>
    <x v="393"/>
    <x v="76"/>
    <d v="2025-03-18T00:00:00"/>
    <s v="M"/>
    <x v="2"/>
    <x v="2"/>
    <x v="0"/>
    <x v="3"/>
    <x v="7"/>
    <x v="11"/>
    <x v="1"/>
  </r>
  <r>
    <s v="TX502077"/>
    <x v="6"/>
    <x v="1"/>
    <n v="95"/>
    <x v="1582"/>
    <x v="76"/>
    <d v="2025-03-20T00:00:00"/>
    <s v="F"/>
    <x v="0"/>
    <x v="0"/>
    <x v="0"/>
    <x v="3"/>
    <x v="1"/>
    <x v="11"/>
    <x v="2"/>
  </r>
  <r>
    <s v="TX502078"/>
    <x v="16"/>
    <x v="1"/>
    <n v="32"/>
    <x v="34"/>
    <x v="76"/>
    <d v="2025-03-20T00:00:00"/>
    <s v="M"/>
    <x v="0"/>
    <x v="1"/>
    <x v="0"/>
    <x v="3"/>
    <x v="1"/>
    <x v="11"/>
    <x v="1"/>
  </r>
  <r>
    <s v="TX502079"/>
    <x v="2"/>
    <x v="1"/>
    <n v="65.2"/>
    <x v="1583"/>
    <x v="76"/>
    <d v="2025-03-19T00:00:00"/>
    <s v="F"/>
    <x v="1"/>
    <x v="0"/>
    <x v="0"/>
    <x v="3"/>
    <x v="3"/>
    <x v="11"/>
    <x v="2"/>
  </r>
  <r>
    <s v="TX502080"/>
    <x v="17"/>
    <x v="12"/>
    <n v="22"/>
    <x v="1155"/>
    <x v="76"/>
    <d v="2025-03-19T00:00:00"/>
    <s v="M"/>
    <x v="1"/>
    <x v="2"/>
    <x v="0"/>
    <x v="3"/>
    <x v="3"/>
    <x v="11"/>
    <x v="1"/>
  </r>
  <r>
    <s v="TX502081"/>
    <x v="15"/>
    <x v="2"/>
    <n v="69.400000000000006"/>
    <x v="140"/>
    <x v="76"/>
    <d v="2025-03-21T00:00:00"/>
    <s v="M"/>
    <x v="1"/>
    <x v="2"/>
    <x v="0"/>
    <x v="3"/>
    <x v="2"/>
    <x v="11"/>
    <x v="1"/>
  </r>
  <r>
    <s v="TX502082"/>
    <x v="10"/>
    <x v="13"/>
    <n v="31.5"/>
    <x v="620"/>
    <x v="76"/>
    <d v="2025-03-20T00:00:00"/>
    <s v="F"/>
    <x v="0"/>
    <x v="2"/>
    <x v="0"/>
    <x v="3"/>
    <x v="1"/>
    <x v="11"/>
    <x v="2"/>
  </r>
  <r>
    <s v="TX502083"/>
    <x v="6"/>
    <x v="0"/>
    <n v="45.8"/>
    <x v="494"/>
    <x v="76"/>
    <d v="2025-03-22T00:00:00"/>
    <s v="O"/>
    <x v="0"/>
    <x v="0"/>
    <x v="0"/>
    <x v="3"/>
    <x v="5"/>
    <x v="11"/>
    <x v="3"/>
  </r>
  <r>
    <s v="TX502084"/>
    <x v="19"/>
    <x v="12"/>
    <n v="12.8"/>
    <x v="180"/>
    <x v="76"/>
    <d v="2025-03-25T00:00:00"/>
    <s v="F"/>
    <x v="1"/>
    <x v="1"/>
    <x v="0"/>
    <x v="5"/>
    <x v="6"/>
    <x v="11"/>
    <x v="2"/>
  </r>
  <r>
    <s v="TX502085"/>
    <x v="5"/>
    <x v="2"/>
    <n v="115.3"/>
    <x v="1584"/>
    <x v="76"/>
    <d v="2025-03-19T00:00:00"/>
    <s v="F"/>
    <x v="2"/>
    <x v="2"/>
    <x v="0"/>
    <x v="6"/>
    <x v="3"/>
    <x v="11"/>
    <x v="2"/>
  </r>
  <r>
    <s v="TX502086"/>
    <x v="5"/>
    <x v="1"/>
    <n v="85"/>
    <x v="393"/>
    <x v="76"/>
    <d v="2025-03-20T00:00:00"/>
    <s v="F"/>
    <x v="1"/>
    <x v="0"/>
    <x v="0"/>
    <x v="7"/>
    <x v="1"/>
    <x v="11"/>
    <x v="2"/>
  </r>
  <r>
    <s v="TX502087"/>
    <x v="8"/>
    <x v="2"/>
    <n v="56.6"/>
    <x v="1026"/>
    <x v="76"/>
    <d v="2025-03-19T00:00:00"/>
    <s v="F"/>
    <x v="1"/>
    <x v="2"/>
    <x v="0"/>
    <x v="7"/>
    <x v="3"/>
    <x v="11"/>
    <x v="2"/>
  </r>
  <r>
    <s v="TX502088"/>
    <x v="15"/>
    <x v="6"/>
    <n v="46.3"/>
    <x v="1585"/>
    <x v="76"/>
    <d v="2025-03-21T00:00:00"/>
    <s v="M"/>
    <x v="0"/>
    <x v="0"/>
    <x v="0"/>
    <x v="7"/>
    <x v="2"/>
    <x v="11"/>
    <x v="1"/>
  </r>
  <r>
    <s v="TX502089"/>
    <x v="14"/>
    <x v="12"/>
    <n v="23"/>
    <x v="988"/>
    <x v="76"/>
    <d v="2025-03-22T00:00:00"/>
    <s v="M"/>
    <x v="3"/>
    <x v="2"/>
    <x v="0"/>
    <x v="7"/>
    <x v="5"/>
    <x v="11"/>
    <x v="1"/>
  </r>
  <r>
    <s v="TX502090"/>
    <x v="8"/>
    <x v="13"/>
    <n v="42.1"/>
    <x v="1586"/>
    <x v="76"/>
    <d v="2025-03-20T00:00:00"/>
    <s v="M"/>
    <x v="4"/>
    <x v="0"/>
    <x v="0"/>
    <x v="8"/>
    <x v="1"/>
    <x v="11"/>
    <x v="1"/>
  </r>
  <r>
    <s v="TX502091"/>
    <x v="5"/>
    <x v="3"/>
    <n v="57.4"/>
    <x v="1587"/>
    <x v="76"/>
    <d v="2025-03-22T00:00:00"/>
    <s v="F"/>
    <x v="1"/>
    <x v="4"/>
    <x v="0"/>
    <x v="8"/>
    <x v="5"/>
    <x v="11"/>
    <x v="2"/>
  </r>
  <r>
    <s v="TX502092"/>
    <x v="0"/>
    <x v="13"/>
    <n v="13.2"/>
    <x v="1113"/>
    <x v="76"/>
    <d v="2025-03-22T00:00:00"/>
    <s v="M"/>
    <x v="2"/>
    <x v="0"/>
    <x v="0"/>
    <x v="8"/>
    <x v="5"/>
    <x v="11"/>
    <x v="1"/>
  </r>
  <r>
    <s v="TX502093"/>
    <x v="6"/>
    <x v="2"/>
    <n v="52.3"/>
    <x v="1588"/>
    <x v="76"/>
    <d v="2025-03-19T00:00:00"/>
    <s v="M"/>
    <x v="1"/>
    <x v="0"/>
    <x v="0"/>
    <x v="8"/>
    <x v="3"/>
    <x v="11"/>
    <x v="1"/>
  </r>
  <r>
    <s v="TX502094"/>
    <x v="8"/>
    <x v="1"/>
    <n v="15.7"/>
    <x v="1323"/>
    <x v="76"/>
    <d v="2025-03-21T00:00:00"/>
    <s v="M"/>
    <x v="1"/>
    <x v="2"/>
    <x v="0"/>
    <x v="8"/>
    <x v="2"/>
    <x v="11"/>
    <x v="1"/>
  </r>
  <r>
    <s v="TX502095"/>
    <x v="7"/>
    <x v="2"/>
    <n v="35"/>
    <x v="211"/>
    <x v="76"/>
    <d v="2025-03-21T00:00:00"/>
    <s v="F"/>
    <x v="1"/>
    <x v="2"/>
    <x v="0"/>
    <x v="9"/>
    <x v="2"/>
    <x v="11"/>
    <x v="2"/>
  </r>
  <r>
    <s v="TX502096"/>
    <x v="4"/>
    <x v="2"/>
    <n v="26.6"/>
    <x v="1589"/>
    <x v="76"/>
    <d v="2025-03-18T00:00:00"/>
    <s v="M"/>
    <x v="1"/>
    <x v="2"/>
    <x v="0"/>
    <x v="11"/>
    <x v="7"/>
    <x v="11"/>
    <x v="1"/>
  </r>
  <r>
    <s v="TX502097"/>
    <x v="4"/>
    <x v="8"/>
    <n v="47.9"/>
    <x v="1590"/>
    <x v="77"/>
    <d v="2025-03-20T00:00:00"/>
    <s v="F"/>
    <x v="3"/>
    <x v="2"/>
    <x v="0"/>
    <x v="20"/>
    <x v="3"/>
    <x v="11"/>
    <x v="2"/>
  </r>
  <r>
    <s v="TX502098"/>
    <x v="5"/>
    <x v="0"/>
    <n v="80.099999999999994"/>
    <x v="1133"/>
    <x v="77"/>
    <d v="2025-03-20T00:00:00"/>
    <s v="M"/>
    <x v="2"/>
    <x v="0"/>
    <x v="0"/>
    <x v="21"/>
    <x v="3"/>
    <x v="11"/>
    <x v="1"/>
  </r>
  <r>
    <s v="TX502099"/>
    <x v="6"/>
    <x v="9"/>
    <n v="50.4"/>
    <x v="816"/>
    <x v="77"/>
    <d v="2025-03-20T00:00:00"/>
    <s v="M"/>
    <x v="1"/>
    <x v="2"/>
    <x v="0"/>
    <x v="21"/>
    <x v="3"/>
    <x v="11"/>
    <x v="1"/>
  </r>
  <r>
    <s v="TX502100"/>
    <x v="10"/>
    <x v="3"/>
    <n v="43.3"/>
    <x v="1591"/>
    <x v="77"/>
    <d v="2025-03-20T00:00:00"/>
    <s v="M"/>
    <x v="2"/>
    <x v="0"/>
    <x v="0"/>
    <x v="21"/>
    <x v="3"/>
    <x v="11"/>
    <x v="1"/>
  </r>
  <r>
    <s v="TX502101"/>
    <x v="10"/>
    <x v="12"/>
    <n v="57.5"/>
    <x v="984"/>
    <x v="77"/>
    <d v="2025-03-20T00:00:00"/>
    <s v="F"/>
    <x v="1"/>
    <x v="2"/>
    <x v="0"/>
    <x v="1"/>
    <x v="3"/>
    <x v="11"/>
    <x v="2"/>
  </r>
  <r>
    <s v="TX502102"/>
    <x v="9"/>
    <x v="15"/>
    <n v="24.8"/>
    <x v="1592"/>
    <x v="77"/>
    <d v="2025-03-20T00:00:00"/>
    <s v="M"/>
    <x v="0"/>
    <x v="0"/>
    <x v="0"/>
    <x v="57"/>
    <x v="3"/>
    <x v="11"/>
    <x v="1"/>
  </r>
  <r>
    <s v="TX502103"/>
    <x v="2"/>
    <x v="11"/>
    <n v="85.7"/>
    <x v="1593"/>
    <x v="77"/>
    <d v="2025-03-20T00:00:00"/>
    <s v="F"/>
    <x v="0"/>
    <x v="0"/>
    <x v="0"/>
    <x v="42"/>
    <x v="3"/>
    <x v="11"/>
    <x v="2"/>
  </r>
  <r>
    <s v="TX502104"/>
    <x v="7"/>
    <x v="0"/>
    <n v="47.1"/>
    <x v="392"/>
    <x v="77"/>
    <d v="2025-03-21T00:00:00"/>
    <s v="F"/>
    <x v="0"/>
    <x v="0"/>
    <x v="0"/>
    <x v="2"/>
    <x v="1"/>
    <x v="11"/>
    <x v="2"/>
  </r>
  <r>
    <s v="TX502105"/>
    <x v="5"/>
    <x v="7"/>
    <n v="83.2"/>
    <x v="1594"/>
    <x v="77"/>
    <d v="2025-03-23T00:00:00"/>
    <s v="F"/>
    <x v="0"/>
    <x v="0"/>
    <x v="0"/>
    <x v="33"/>
    <x v="5"/>
    <x v="11"/>
    <x v="2"/>
  </r>
  <r>
    <s v="TX502106"/>
    <x v="2"/>
    <x v="2"/>
    <n v="157"/>
    <x v="1595"/>
    <x v="77"/>
    <d v="2025-03-21T00:00:00"/>
    <s v="F"/>
    <x v="0"/>
    <x v="2"/>
    <x v="0"/>
    <x v="22"/>
    <x v="1"/>
    <x v="11"/>
    <x v="2"/>
  </r>
  <r>
    <s v="TX502107"/>
    <x v="16"/>
    <x v="12"/>
    <n v="33.700000000000003"/>
    <x v="1093"/>
    <x v="77"/>
    <d v="2025-03-20T00:00:00"/>
    <s v="M"/>
    <x v="2"/>
    <x v="2"/>
    <x v="0"/>
    <x v="22"/>
    <x v="3"/>
    <x v="11"/>
    <x v="1"/>
  </r>
  <r>
    <s v="TX502108"/>
    <x v="2"/>
    <x v="2"/>
    <n v="60.8"/>
    <x v="1596"/>
    <x v="77"/>
    <d v="2025-03-23T00:00:00"/>
    <s v="F"/>
    <x v="1"/>
    <x v="1"/>
    <x v="0"/>
    <x v="3"/>
    <x v="5"/>
    <x v="11"/>
    <x v="2"/>
  </r>
  <r>
    <s v="TX502109"/>
    <x v="7"/>
    <x v="0"/>
    <n v="57.6"/>
    <x v="636"/>
    <x v="77"/>
    <d v="2025-03-20T00:00:00"/>
    <s v="M"/>
    <x v="1"/>
    <x v="4"/>
    <x v="0"/>
    <x v="3"/>
    <x v="3"/>
    <x v="11"/>
    <x v="1"/>
  </r>
  <r>
    <s v="TX502110"/>
    <x v="10"/>
    <x v="0"/>
    <n v="32"/>
    <x v="109"/>
    <x v="77"/>
    <d v="2025-03-21T00:00:00"/>
    <s v="M"/>
    <x v="0"/>
    <x v="0"/>
    <x v="0"/>
    <x v="3"/>
    <x v="1"/>
    <x v="11"/>
    <x v="1"/>
  </r>
  <r>
    <s v="TX502111"/>
    <x v="10"/>
    <x v="12"/>
    <n v="23.5"/>
    <x v="255"/>
    <x v="77"/>
    <d v="2025-03-20T00:00:00"/>
    <s v="F"/>
    <x v="0"/>
    <x v="2"/>
    <x v="0"/>
    <x v="3"/>
    <x v="3"/>
    <x v="11"/>
    <x v="2"/>
  </r>
  <r>
    <s v="TX502112"/>
    <x v="12"/>
    <x v="2"/>
    <n v="44.8"/>
    <x v="1597"/>
    <x v="77"/>
    <d v="2025-03-20T00:00:00"/>
    <s v="O"/>
    <x v="4"/>
    <x v="0"/>
    <x v="0"/>
    <x v="3"/>
    <x v="3"/>
    <x v="11"/>
    <x v="3"/>
  </r>
  <r>
    <s v="TX502113"/>
    <x v="0"/>
    <x v="8"/>
    <n v="11.7"/>
    <x v="64"/>
    <x v="77"/>
    <d v="2025-03-20T00:00:00"/>
    <s v="M"/>
    <x v="2"/>
    <x v="2"/>
    <x v="0"/>
    <x v="3"/>
    <x v="3"/>
    <x v="11"/>
    <x v="1"/>
  </r>
  <r>
    <s v="TX502114"/>
    <x v="7"/>
    <x v="1"/>
    <n v="38.799999999999997"/>
    <x v="1598"/>
    <x v="77"/>
    <d v="2025-03-22T00:00:00"/>
    <s v="F"/>
    <x v="2"/>
    <x v="0"/>
    <x v="0"/>
    <x v="3"/>
    <x v="2"/>
    <x v="11"/>
    <x v="2"/>
  </r>
  <r>
    <s v="TX502115"/>
    <x v="5"/>
    <x v="21"/>
    <n v="86.9"/>
    <x v="1599"/>
    <x v="77"/>
    <d v="2025-03-24T00:00:00"/>
    <s v="F"/>
    <x v="1"/>
    <x v="0"/>
    <x v="0"/>
    <x v="3"/>
    <x v="0"/>
    <x v="11"/>
    <x v="2"/>
  </r>
  <r>
    <s v="TX502116"/>
    <x v="8"/>
    <x v="0"/>
    <n v="18.3"/>
    <x v="1600"/>
    <x v="77"/>
    <d v="2025-03-20T00:00:00"/>
    <s v="F"/>
    <x v="0"/>
    <x v="0"/>
    <x v="0"/>
    <x v="3"/>
    <x v="3"/>
    <x v="11"/>
    <x v="2"/>
  </r>
  <r>
    <s v="TX502117"/>
    <x v="5"/>
    <x v="0"/>
    <n v="47.5"/>
    <x v="1601"/>
    <x v="77"/>
    <d v="2025-03-23T00:00:00"/>
    <s v="M"/>
    <x v="4"/>
    <x v="2"/>
    <x v="0"/>
    <x v="3"/>
    <x v="5"/>
    <x v="11"/>
    <x v="1"/>
  </r>
  <r>
    <s v="TX502118"/>
    <x v="1"/>
    <x v="1"/>
    <n v="78.599999999999994"/>
    <x v="507"/>
    <x v="77"/>
    <d v="2025-03-20T00:00:00"/>
    <s v="M"/>
    <x v="2"/>
    <x v="2"/>
    <x v="0"/>
    <x v="3"/>
    <x v="3"/>
    <x v="11"/>
    <x v="1"/>
  </r>
  <r>
    <s v="TX502119"/>
    <x v="6"/>
    <x v="12"/>
    <n v="87.3"/>
    <x v="1602"/>
    <x v="77"/>
    <d v="2025-03-20T00:00:00"/>
    <s v="M"/>
    <x v="0"/>
    <x v="0"/>
    <x v="0"/>
    <x v="3"/>
    <x v="3"/>
    <x v="11"/>
    <x v="1"/>
  </r>
  <r>
    <s v="TX502120"/>
    <x v="9"/>
    <x v="1"/>
    <n v="63.2"/>
    <x v="628"/>
    <x v="77"/>
    <d v="2025-03-19T00:00:00"/>
    <s v="M"/>
    <x v="4"/>
    <x v="1"/>
    <x v="0"/>
    <x v="3"/>
    <x v="7"/>
    <x v="11"/>
    <x v="1"/>
  </r>
  <r>
    <s v="TX502121"/>
    <x v="5"/>
    <x v="9"/>
    <n v="33.700000000000003"/>
    <x v="1603"/>
    <x v="77"/>
    <d v="2025-03-20T00:00:00"/>
    <s v="F"/>
    <x v="0"/>
    <x v="0"/>
    <x v="0"/>
    <x v="3"/>
    <x v="3"/>
    <x v="11"/>
    <x v="2"/>
  </r>
  <r>
    <s v="TX502122"/>
    <x v="2"/>
    <x v="2"/>
    <n v="107.4"/>
    <x v="1604"/>
    <x v="77"/>
    <d v="2025-04-01T00:00:00"/>
    <s v="F"/>
    <x v="1"/>
    <x v="2"/>
    <x v="0"/>
    <x v="3"/>
    <x v="10"/>
    <x v="11"/>
    <x v="2"/>
  </r>
  <r>
    <s v="TX502123"/>
    <x v="4"/>
    <x v="12"/>
    <n v="22.2"/>
    <x v="1605"/>
    <x v="77"/>
    <d v="2025-03-20T00:00:00"/>
    <s v=""/>
    <x v="1"/>
    <x v="2"/>
    <x v="0"/>
    <x v="24"/>
    <x v="3"/>
    <x v="11"/>
    <x v="0"/>
  </r>
  <r>
    <s v="TX502124"/>
    <x v="18"/>
    <x v="2"/>
    <n v="52.8"/>
    <x v="1329"/>
    <x v="77"/>
    <d v="2025-03-20T00:00:00"/>
    <s v="M"/>
    <x v="3"/>
    <x v="2"/>
    <x v="0"/>
    <x v="24"/>
    <x v="3"/>
    <x v="11"/>
    <x v="1"/>
  </r>
  <r>
    <s v="TX502125"/>
    <x v="8"/>
    <x v="2"/>
    <n v="41.5"/>
    <x v="376"/>
    <x v="77"/>
    <d v="2025-03-22T00:00:00"/>
    <s v="F"/>
    <x v="0"/>
    <x v="0"/>
    <x v="0"/>
    <x v="25"/>
    <x v="2"/>
    <x v="11"/>
    <x v="2"/>
  </r>
  <r>
    <s v="TX502126"/>
    <x v="12"/>
    <x v="8"/>
    <n v="103.5"/>
    <x v="1606"/>
    <x v="77"/>
    <d v="2025-03-22T00:00:00"/>
    <s v="F"/>
    <x v="0"/>
    <x v="2"/>
    <x v="0"/>
    <x v="23"/>
    <x v="2"/>
    <x v="11"/>
    <x v="2"/>
  </r>
  <r>
    <s v="TX502127"/>
    <x v="4"/>
    <x v="21"/>
    <n v="37.5"/>
    <x v="1469"/>
    <x v="77"/>
    <d v="2025-03-19T00:00:00"/>
    <s v="F"/>
    <x v="1"/>
    <x v="2"/>
    <x v="0"/>
    <x v="6"/>
    <x v="7"/>
    <x v="11"/>
    <x v="2"/>
  </r>
  <r>
    <s v="TX502128"/>
    <x v="15"/>
    <x v="8"/>
    <n v="44.4"/>
    <x v="1607"/>
    <x v="77"/>
    <d v="2025-03-25T00:00:00"/>
    <s v="F"/>
    <x v="3"/>
    <x v="2"/>
    <x v="0"/>
    <x v="7"/>
    <x v="4"/>
    <x v="11"/>
    <x v="2"/>
  </r>
  <r>
    <s v="TX502129"/>
    <x v="8"/>
    <x v="2"/>
    <n v="26.2"/>
    <x v="1608"/>
    <x v="77"/>
    <d v="2025-03-20T00:00:00"/>
    <s v="M"/>
    <x v="0"/>
    <x v="0"/>
    <x v="0"/>
    <x v="8"/>
    <x v="3"/>
    <x v="11"/>
    <x v="1"/>
  </r>
  <r>
    <s v="TX502130"/>
    <x v="1"/>
    <x v="3"/>
    <n v="32.200000000000003"/>
    <x v="1009"/>
    <x v="77"/>
    <d v="2025-03-20T00:00:00"/>
    <s v="F"/>
    <x v="1"/>
    <x v="2"/>
    <x v="0"/>
    <x v="8"/>
    <x v="3"/>
    <x v="11"/>
    <x v="2"/>
  </r>
  <r>
    <s v="TX502131"/>
    <x v="8"/>
    <x v="0"/>
    <n v="17.399999999999999"/>
    <x v="1609"/>
    <x v="77"/>
    <d v="2025-03-23T00:00:00"/>
    <s v=""/>
    <x v="2"/>
    <x v="1"/>
    <x v="0"/>
    <x v="8"/>
    <x v="5"/>
    <x v="11"/>
    <x v="0"/>
  </r>
  <r>
    <s v="TX502132"/>
    <x v="8"/>
    <x v="13"/>
    <n v="72.3"/>
    <x v="1610"/>
    <x v="77"/>
    <d v="2025-03-22T00:00:00"/>
    <s v="F"/>
    <x v="0"/>
    <x v="0"/>
    <x v="0"/>
    <x v="8"/>
    <x v="2"/>
    <x v="11"/>
    <x v="2"/>
  </r>
  <r>
    <s v="TX502133"/>
    <x v="8"/>
    <x v="5"/>
    <n v="24.3"/>
    <x v="1611"/>
    <x v="77"/>
    <d v="2025-03-20T00:00:00"/>
    <s v="M"/>
    <x v="0"/>
    <x v="0"/>
    <x v="0"/>
    <x v="8"/>
    <x v="3"/>
    <x v="11"/>
    <x v="1"/>
  </r>
  <r>
    <s v="TX502134"/>
    <x v="13"/>
    <x v="2"/>
    <n v="49.1"/>
    <x v="824"/>
    <x v="77"/>
    <d v="2025-03-25T00:00:00"/>
    <s v="M"/>
    <x v="2"/>
    <x v="4"/>
    <x v="0"/>
    <x v="8"/>
    <x v="4"/>
    <x v="11"/>
    <x v="1"/>
  </r>
  <r>
    <s v="TX502135"/>
    <x v="2"/>
    <x v="7"/>
    <n v="234.7"/>
    <x v="1612"/>
    <x v="77"/>
    <d v="2025-03-20T00:00:00"/>
    <s v="M"/>
    <x v="3"/>
    <x v="1"/>
    <x v="0"/>
    <x v="8"/>
    <x v="3"/>
    <x v="11"/>
    <x v="1"/>
  </r>
  <r>
    <s v="TX502136"/>
    <x v="3"/>
    <x v="9"/>
    <n v="76.099999999999994"/>
    <x v="1613"/>
    <x v="77"/>
    <d v="2025-03-21T00:00:00"/>
    <s v="M"/>
    <x v="1"/>
    <x v="1"/>
    <x v="0"/>
    <x v="17"/>
    <x v="1"/>
    <x v="11"/>
    <x v="1"/>
  </r>
  <r>
    <s v="TX502137"/>
    <x v="1"/>
    <x v="2"/>
    <n v="93.9"/>
    <x v="1614"/>
    <x v="77"/>
    <d v="2025-03-20T00:00:00"/>
    <s v="M"/>
    <x v="1"/>
    <x v="4"/>
    <x v="0"/>
    <x v="11"/>
    <x v="3"/>
    <x v="11"/>
    <x v="1"/>
  </r>
  <r>
    <s v="TX502138"/>
    <x v="2"/>
    <x v="12"/>
    <n v="187"/>
    <x v="1615"/>
    <x v="78"/>
    <d v="2025-03-23T00:00:00"/>
    <s v="M"/>
    <x v="0"/>
    <x v="0"/>
    <x v="0"/>
    <x v="11"/>
    <x v="2"/>
    <x v="11"/>
    <x v="1"/>
  </r>
  <r>
    <s v="TX502139"/>
    <x v="8"/>
    <x v="1"/>
    <n v="18"/>
    <x v="53"/>
    <x v="78"/>
    <d v="2025-03-21T00:00:00"/>
    <s v="F"/>
    <x v="1"/>
    <x v="2"/>
    <x v="0"/>
    <x v="53"/>
    <x v="3"/>
    <x v="11"/>
    <x v="2"/>
  </r>
  <r>
    <s v="TX502140"/>
    <x v="4"/>
    <x v="0"/>
    <n v="24.4"/>
    <x v="1616"/>
    <x v="78"/>
    <d v="2025-03-21T00:00:00"/>
    <s v="F"/>
    <x v="4"/>
    <x v="2"/>
    <x v="0"/>
    <x v="21"/>
    <x v="3"/>
    <x v="11"/>
    <x v="2"/>
  </r>
  <r>
    <s v="TX502141"/>
    <x v="10"/>
    <x v="1"/>
    <n v="38.799999999999997"/>
    <x v="1598"/>
    <x v="78"/>
    <d v="2025-03-21T00:00:00"/>
    <s v="M"/>
    <x v="4"/>
    <x v="1"/>
    <x v="0"/>
    <x v="3"/>
    <x v="3"/>
    <x v="11"/>
    <x v="1"/>
  </r>
  <r>
    <s v="TX502142"/>
    <x v="3"/>
    <x v="0"/>
    <n v="59.7"/>
    <x v="1201"/>
    <x v="78"/>
    <d v="2025-03-23T00:00:00"/>
    <s v="M"/>
    <x v="3"/>
    <x v="0"/>
    <x v="0"/>
    <x v="3"/>
    <x v="2"/>
    <x v="11"/>
    <x v="1"/>
  </r>
  <r>
    <s v="TX502143"/>
    <x v="7"/>
    <x v="0"/>
    <n v="31.2"/>
    <x v="406"/>
    <x v="78"/>
    <d v="2025-03-21T00:00:00"/>
    <s v="M"/>
    <x v="1"/>
    <x v="2"/>
    <x v="0"/>
    <x v="3"/>
    <x v="3"/>
    <x v="11"/>
    <x v="1"/>
  </r>
  <r>
    <s v="TX502144"/>
    <x v="0"/>
    <x v="0"/>
    <n v="16.8"/>
    <x v="749"/>
    <x v="78"/>
    <d v="2025-03-21T00:00:00"/>
    <s v="F"/>
    <x v="2"/>
    <x v="1"/>
    <x v="0"/>
    <x v="3"/>
    <x v="3"/>
    <x v="11"/>
    <x v="2"/>
  </r>
  <r>
    <s v="TX502145"/>
    <x v="8"/>
    <x v="0"/>
    <n v="46"/>
    <x v="716"/>
    <x v="78"/>
    <d v="2025-03-21T00:00:00"/>
    <s v="M"/>
    <x v="0"/>
    <x v="0"/>
    <x v="0"/>
    <x v="3"/>
    <x v="3"/>
    <x v="11"/>
    <x v="1"/>
  </r>
  <r>
    <s v="TX502146"/>
    <x v="9"/>
    <x v="8"/>
    <n v="42.2"/>
    <x v="1617"/>
    <x v="78"/>
    <d v="2025-03-23T00:00:00"/>
    <s v="F"/>
    <x v="3"/>
    <x v="2"/>
    <x v="0"/>
    <x v="3"/>
    <x v="2"/>
    <x v="11"/>
    <x v="2"/>
  </r>
  <r>
    <s v="TX502147"/>
    <x v="1"/>
    <x v="2"/>
    <n v="71.5"/>
    <x v="523"/>
    <x v="78"/>
    <d v="2025-04-03T00:00:00"/>
    <s v="F"/>
    <x v="0"/>
    <x v="0"/>
    <x v="0"/>
    <x v="3"/>
    <x v="12"/>
    <x v="11"/>
    <x v="2"/>
  </r>
  <r>
    <s v="TX502148"/>
    <x v="1"/>
    <x v="1"/>
    <n v="76.599999999999994"/>
    <x v="1618"/>
    <x v="78"/>
    <d v="2025-03-20T00:00:00"/>
    <s v="M"/>
    <x v="0"/>
    <x v="2"/>
    <x v="0"/>
    <x v="3"/>
    <x v="7"/>
    <x v="11"/>
    <x v="1"/>
  </r>
  <r>
    <s v="TX502149"/>
    <x v="12"/>
    <x v="1"/>
    <n v="87.3"/>
    <x v="1619"/>
    <x v="78"/>
    <d v="2025-03-28T00:00:00"/>
    <s v="F"/>
    <x v="3"/>
    <x v="2"/>
    <x v="0"/>
    <x v="3"/>
    <x v="9"/>
    <x v="11"/>
    <x v="2"/>
  </r>
  <r>
    <s v="TX502150"/>
    <x v="1"/>
    <x v="0"/>
    <n v="63"/>
    <x v="1620"/>
    <x v="78"/>
    <d v="2025-03-23T00:00:00"/>
    <s v="M"/>
    <x v="3"/>
    <x v="0"/>
    <x v="0"/>
    <x v="3"/>
    <x v="2"/>
    <x v="11"/>
    <x v="1"/>
  </r>
  <r>
    <s v="TX502151"/>
    <x v="8"/>
    <x v="1"/>
    <n v="41.7"/>
    <x v="925"/>
    <x v="78"/>
    <d v="2025-03-21T00:00:00"/>
    <s v="F"/>
    <x v="4"/>
    <x v="1"/>
    <x v="0"/>
    <x v="43"/>
    <x v="3"/>
    <x v="11"/>
    <x v="2"/>
  </r>
  <r>
    <s v="TX502152"/>
    <x v="6"/>
    <x v="1"/>
    <n v="76.099999999999994"/>
    <x v="1621"/>
    <x v="78"/>
    <d v="2025-03-20T00:00:00"/>
    <s v="F"/>
    <x v="4"/>
    <x v="2"/>
    <x v="0"/>
    <x v="16"/>
    <x v="7"/>
    <x v="11"/>
    <x v="2"/>
  </r>
  <r>
    <s v="TX502153"/>
    <x v="13"/>
    <x v="1"/>
    <n v="28.5"/>
    <x v="933"/>
    <x v="78"/>
    <d v="2025-03-21T00:00:00"/>
    <s v="F"/>
    <x v="0"/>
    <x v="2"/>
    <x v="0"/>
    <x v="4"/>
    <x v="3"/>
    <x v="11"/>
    <x v="2"/>
  </r>
  <r>
    <s v="TX502154"/>
    <x v="0"/>
    <x v="12"/>
    <n v="32.1"/>
    <x v="58"/>
    <x v="78"/>
    <d v="2025-03-21T00:00:00"/>
    <s v="F"/>
    <x v="1"/>
    <x v="2"/>
    <x v="0"/>
    <x v="25"/>
    <x v="3"/>
    <x v="11"/>
    <x v="2"/>
  </r>
  <r>
    <s v="TX502155"/>
    <x v="4"/>
    <x v="2"/>
    <n v="39"/>
    <x v="1622"/>
    <x v="78"/>
    <d v="2025-03-23T00:00:00"/>
    <s v="M"/>
    <x v="1"/>
    <x v="2"/>
    <x v="0"/>
    <x v="25"/>
    <x v="2"/>
    <x v="11"/>
    <x v="1"/>
  </r>
  <r>
    <s v="TX502156"/>
    <x v="6"/>
    <x v="0"/>
    <n v="78.5"/>
    <x v="1623"/>
    <x v="78"/>
    <d v="2025-03-21T00:00:00"/>
    <s v="M"/>
    <x v="1"/>
    <x v="0"/>
    <x v="0"/>
    <x v="6"/>
    <x v="3"/>
    <x v="11"/>
    <x v="1"/>
  </r>
  <r>
    <s v="TX502157"/>
    <x v="4"/>
    <x v="9"/>
    <n v="49.7"/>
    <x v="1624"/>
    <x v="78"/>
    <d v="2025-03-22T00:00:00"/>
    <s v="F"/>
    <x v="0"/>
    <x v="0"/>
    <x v="0"/>
    <x v="6"/>
    <x v="1"/>
    <x v="11"/>
    <x v="2"/>
  </r>
  <r>
    <s v="TX502158"/>
    <x v="1"/>
    <x v="12"/>
    <n v="68.400000000000006"/>
    <x v="1625"/>
    <x v="78"/>
    <d v="2025-03-21T00:00:00"/>
    <s v="F"/>
    <x v="2"/>
    <x v="2"/>
    <x v="0"/>
    <x v="7"/>
    <x v="3"/>
    <x v="11"/>
    <x v="2"/>
  </r>
  <r>
    <s v="TX502159"/>
    <x v="3"/>
    <x v="1"/>
    <n v="72.900000000000006"/>
    <x v="1626"/>
    <x v="78"/>
    <d v="2025-03-23T00:00:00"/>
    <s v=""/>
    <x v="0"/>
    <x v="2"/>
    <x v="0"/>
    <x v="7"/>
    <x v="2"/>
    <x v="11"/>
    <x v="0"/>
  </r>
  <r>
    <s v="TX502160"/>
    <x v="5"/>
    <x v="15"/>
    <n v="30.3"/>
    <x v="1627"/>
    <x v="78"/>
    <d v="2025-03-21T00:00:00"/>
    <s v="M"/>
    <x v="4"/>
    <x v="0"/>
    <x v="0"/>
    <x v="7"/>
    <x v="3"/>
    <x v="11"/>
    <x v="1"/>
  </r>
  <r>
    <s v="TX502161"/>
    <x v="6"/>
    <x v="5"/>
    <n v="57.9"/>
    <x v="1628"/>
    <x v="78"/>
    <d v="2025-03-21T00:00:00"/>
    <s v="F"/>
    <x v="0"/>
    <x v="0"/>
    <x v="0"/>
    <x v="8"/>
    <x v="3"/>
    <x v="11"/>
    <x v="2"/>
  </r>
  <r>
    <s v="TX502162"/>
    <x v="1"/>
    <x v="0"/>
    <n v="96.7"/>
    <x v="1629"/>
    <x v="78"/>
    <d v="2025-03-21T00:00:00"/>
    <s v="M"/>
    <x v="0"/>
    <x v="0"/>
    <x v="0"/>
    <x v="8"/>
    <x v="3"/>
    <x v="11"/>
    <x v="1"/>
  </r>
  <r>
    <s v="TX502163"/>
    <x v="8"/>
    <x v="4"/>
    <n v="27.6"/>
    <x v="1630"/>
    <x v="78"/>
    <d v="2025-03-22T00:00:00"/>
    <s v="M"/>
    <x v="2"/>
    <x v="2"/>
    <x v="0"/>
    <x v="8"/>
    <x v="1"/>
    <x v="11"/>
    <x v="1"/>
  </r>
  <r>
    <s v="TX502164"/>
    <x v="6"/>
    <x v="12"/>
    <n v="64.7"/>
    <x v="536"/>
    <x v="78"/>
    <d v="2025-03-20T00:00:00"/>
    <s v="M"/>
    <x v="3"/>
    <x v="2"/>
    <x v="0"/>
    <x v="8"/>
    <x v="7"/>
    <x v="11"/>
    <x v="1"/>
  </r>
  <r>
    <s v="TX502165"/>
    <x v="10"/>
    <x v="13"/>
    <n v="30.5"/>
    <x v="1143"/>
    <x v="78"/>
    <d v="2025-03-21T00:00:00"/>
    <s v="M"/>
    <x v="4"/>
    <x v="0"/>
    <x v="0"/>
    <x v="8"/>
    <x v="3"/>
    <x v="11"/>
    <x v="1"/>
  </r>
  <r>
    <s v="TX502166"/>
    <x v="6"/>
    <x v="47"/>
    <n v="106"/>
    <x v="1631"/>
    <x v="79"/>
    <d v="2025-03-23T00:00:00"/>
    <s v="M"/>
    <x v="4"/>
    <x v="2"/>
    <x v="0"/>
    <x v="8"/>
    <x v="1"/>
    <x v="11"/>
    <x v="1"/>
  </r>
  <r>
    <s v="TX502167"/>
    <x v="12"/>
    <x v="9"/>
    <n v="76.8"/>
    <x v="1632"/>
    <x v="79"/>
    <d v="2025-03-27T00:00:00"/>
    <s v=""/>
    <x v="1"/>
    <x v="1"/>
    <x v="0"/>
    <x v="18"/>
    <x v="4"/>
    <x v="11"/>
    <x v="0"/>
  </r>
  <r>
    <s v="TX502168"/>
    <x v="6"/>
    <x v="1"/>
    <n v="80.400000000000006"/>
    <x v="1530"/>
    <x v="79"/>
    <d v="2025-03-22T00:00:00"/>
    <s v="F"/>
    <x v="2"/>
    <x v="0"/>
    <x v="0"/>
    <x v="13"/>
    <x v="3"/>
    <x v="11"/>
    <x v="2"/>
  </r>
  <r>
    <s v="TX502169"/>
    <x v="6"/>
    <x v="12"/>
    <n v="69.099999999999994"/>
    <x v="1633"/>
    <x v="79"/>
    <d v="2025-03-22T00:00:00"/>
    <s v="M"/>
    <x v="1"/>
    <x v="2"/>
    <x v="0"/>
    <x v="21"/>
    <x v="3"/>
    <x v="11"/>
    <x v="1"/>
  </r>
  <r>
    <s v="TX502170"/>
    <x v="18"/>
    <x v="1"/>
    <n v="76.400000000000006"/>
    <x v="1634"/>
    <x v="79"/>
    <d v="2025-03-21T00:00:00"/>
    <s v="M"/>
    <x v="3"/>
    <x v="0"/>
    <x v="0"/>
    <x v="21"/>
    <x v="7"/>
    <x v="11"/>
    <x v="1"/>
  </r>
  <r>
    <s v="TX502171"/>
    <x v="2"/>
    <x v="1"/>
    <n v="61.3"/>
    <x v="384"/>
    <x v="79"/>
    <d v="2025-03-22T00:00:00"/>
    <s v="F"/>
    <x v="1"/>
    <x v="1"/>
    <x v="0"/>
    <x v="21"/>
    <x v="3"/>
    <x v="11"/>
    <x v="2"/>
  </r>
  <r>
    <s v="TX502172"/>
    <x v="7"/>
    <x v="0"/>
    <n v="58"/>
    <x v="1635"/>
    <x v="79"/>
    <d v="2025-03-22T00:00:00"/>
    <s v="M"/>
    <x v="3"/>
    <x v="1"/>
    <x v="0"/>
    <x v="1"/>
    <x v="3"/>
    <x v="11"/>
    <x v="1"/>
  </r>
  <r>
    <s v="TX502173"/>
    <x v="2"/>
    <x v="8"/>
    <n v="102.3"/>
    <x v="1636"/>
    <x v="79"/>
    <d v="2025-03-23T00:00:00"/>
    <s v="M"/>
    <x v="2"/>
    <x v="0"/>
    <x v="0"/>
    <x v="42"/>
    <x v="1"/>
    <x v="11"/>
    <x v="1"/>
  </r>
  <r>
    <s v="TX502174"/>
    <x v="19"/>
    <x v="1"/>
    <n v="13.8"/>
    <x v="1637"/>
    <x v="79"/>
    <d v="2025-03-22T00:00:00"/>
    <s v="F"/>
    <x v="4"/>
    <x v="2"/>
    <x v="0"/>
    <x v="2"/>
    <x v="3"/>
    <x v="11"/>
    <x v="2"/>
  </r>
  <r>
    <s v="TX502175"/>
    <x v="8"/>
    <x v="2"/>
    <n v="33.299999999999997"/>
    <x v="1638"/>
    <x v="79"/>
    <d v="2025-03-24T00:00:00"/>
    <s v="F"/>
    <x v="2"/>
    <x v="0"/>
    <x v="0"/>
    <x v="22"/>
    <x v="2"/>
    <x v="11"/>
    <x v="2"/>
  </r>
  <r>
    <s v="TX502176"/>
    <x v="10"/>
    <x v="0"/>
    <n v="27.4"/>
    <x v="1639"/>
    <x v="79"/>
    <d v="2025-03-24T00:00:00"/>
    <s v="M"/>
    <x v="0"/>
    <x v="2"/>
    <x v="0"/>
    <x v="22"/>
    <x v="2"/>
    <x v="11"/>
    <x v="1"/>
  </r>
  <r>
    <s v="TX502177"/>
    <x v="14"/>
    <x v="1"/>
    <n v="25.6"/>
    <x v="180"/>
    <x v="79"/>
    <d v="2025-03-22T00:00:00"/>
    <s v="F"/>
    <x v="1"/>
    <x v="1"/>
    <x v="0"/>
    <x v="3"/>
    <x v="3"/>
    <x v="11"/>
    <x v="2"/>
  </r>
  <r>
    <s v="TX502178"/>
    <x v="13"/>
    <x v="0"/>
    <n v="58.4"/>
    <x v="305"/>
    <x v="79"/>
    <d v="2025-03-22T00:00:00"/>
    <s v="F"/>
    <x v="2"/>
    <x v="2"/>
    <x v="0"/>
    <x v="3"/>
    <x v="3"/>
    <x v="11"/>
    <x v="2"/>
  </r>
  <r>
    <s v="TX502179"/>
    <x v="11"/>
    <x v="17"/>
    <n v="27"/>
    <x v="906"/>
    <x v="79"/>
    <d v="2025-03-22T00:00:00"/>
    <s v="F"/>
    <x v="4"/>
    <x v="0"/>
    <x v="0"/>
    <x v="3"/>
    <x v="3"/>
    <x v="11"/>
    <x v="2"/>
  </r>
  <r>
    <s v="TX502180"/>
    <x v="0"/>
    <x v="12"/>
    <n v="14.2"/>
    <x v="1640"/>
    <x v="79"/>
    <d v="2025-03-22T00:00:00"/>
    <s v="M"/>
    <x v="0"/>
    <x v="2"/>
    <x v="0"/>
    <x v="3"/>
    <x v="3"/>
    <x v="11"/>
    <x v="1"/>
  </r>
  <r>
    <s v="TX502181"/>
    <x v="7"/>
    <x v="1"/>
    <n v="68"/>
    <x v="1641"/>
    <x v="79"/>
    <d v="2025-03-31T00:00:00"/>
    <s v="M"/>
    <x v="2"/>
    <x v="1"/>
    <x v="0"/>
    <x v="3"/>
    <x v="14"/>
    <x v="11"/>
    <x v="1"/>
  </r>
  <r>
    <s v="TX502182"/>
    <x v="8"/>
    <x v="0"/>
    <n v="30.7"/>
    <x v="1642"/>
    <x v="79"/>
    <d v="2025-03-22T00:00:00"/>
    <s v="M"/>
    <x v="0"/>
    <x v="0"/>
    <x v="0"/>
    <x v="3"/>
    <x v="3"/>
    <x v="11"/>
    <x v="1"/>
  </r>
  <r>
    <s v="TX502183"/>
    <x v="17"/>
    <x v="15"/>
    <n v="51.6"/>
    <x v="1643"/>
    <x v="79"/>
    <d v="2025-03-24T00:00:00"/>
    <s v="O"/>
    <x v="1"/>
    <x v="2"/>
    <x v="0"/>
    <x v="3"/>
    <x v="2"/>
    <x v="11"/>
    <x v="3"/>
  </r>
  <r>
    <s v="TX502184"/>
    <x v="8"/>
    <x v="2"/>
    <n v="20.6"/>
    <x v="957"/>
    <x v="79"/>
    <d v="2025-03-25T00:00:00"/>
    <s v="F"/>
    <x v="4"/>
    <x v="2"/>
    <x v="0"/>
    <x v="3"/>
    <x v="5"/>
    <x v="11"/>
    <x v="2"/>
  </r>
  <r>
    <s v="TX502185"/>
    <x v="8"/>
    <x v="0"/>
    <n v="24.8"/>
    <x v="1644"/>
    <x v="79"/>
    <d v="2025-03-22T00:00:00"/>
    <s v="M"/>
    <x v="4"/>
    <x v="0"/>
    <x v="0"/>
    <x v="3"/>
    <x v="3"/>
    <x v="11"/>
    <x v="1"/>
  </r>
  <r>
    <s v="TX502186"/>
    <x v="0"/>
    <x v="3"/>
    <n v="11.2"/>
    <x v="1645"/>
    <x v="79"/>
    <d v="2025-03-24T00:00:00"/>
    <s v="M"/>
    <x v="1"/>
    <x v="0"/>
    <x v="0"/>
    <x v="3"/>
    <x v="2"/>
    <x v="11"/>
    <x v="1"/>
  </r>
  <r>
    <s v="TX502187"/>
    <x v="11"/>
    <x v="1"/>
    <n v="51.2"/>
    <x v="298"/>
    <x v="79"/>
    <d v="2025-03-22T00:00:00"/>
    <s v="F"/>
    <x v="1"/>
    <x v="2"/>
    <x v="0"/>
    <x v="3"/>
    <x v="3"/>
    <x v="11"/>
    <x v="2"/>
  </r>
  <r>
    <s v="TX502188"/>
    <x v="7"/>
    <x v="13"/>
    <n v="90.5"/>
    <x v="1646"/>
    <x v="79"/>
    <d v="2025-03-22T00:00:00"/>
    <s v="F"/>
    <x v="1"/>
    <x v="4"/>
    <x v="0"/>
    <x v="3"/>
    <x v="3"/>
    <x v="11"/>
    <x v="2"/>
  </r>
  <r>
    <s v="TX502189"/>
    <x v="1"/>
    <x v="1"/>
    <n v="42.4"/>
    <x v="1647"/>
    <x v="79"/>
    <d v="2025-03-22T00:00:00"/>
    <s v="M"/>
    <x v="1"/>
    <x v="2"/>
    <x v="0"/>
    <x v="4"/>
    <x v="3"/>
    <x v="11"/>
    <x v="1"/>
  </r>
  <r>
    <s v="TX502190"/>
    <x v="1"/>
    <x v="1"/>
    <n v="38.200000000000003"/>
    <x v="1648"/>
    <x v="79"/>
    <d v="2025-03-22T00:00:00"/>
    <s v="M"/>
    <x v="0"/>
    <x v="0"/>
    <x v="0"/>
    <x v="5"/>
    <x v="3"/>
    <x v="11"/>
    <x v="1"/>
  </r>
  <r>
    <s v="TX502191"/>
    <x v="2"/>
    <x v="11"/>
    <n v="121.3"/>
    <x v="1649"/>
    <x v="79"/>
    <d v="2025-03-26T00:00:00"/>
    <s v="M"/>
    <x v="0"/>
    <x v="0"/>
    <x v="0"/>
    <x v="6"/>
    <x v="0"/>
    <x v="11"/>
    <x v="1"/>
  </r>
  <r>
    <s v="TX502192"/>
    <x v="6"/>
    <x v="1"/>
    <n v="46.9"/>
    <x v="1650"/>
    <x v="79"/>
    <d v="2025-03-28T00:00:00"/>
    <s v="M"/>
    <x v="0"/>
    <x v="0"/>
    <x v="0"/>
    <x v="8"/>
    <x v="6"/>
    <x v="11"/>
    <x v="1"/>
  </r>
  <r>
    <s v="TX502193"/>
    <x v="10"/>
    <x v="0"/>
    <n v="55.3"/>
    <x v="6"/>
    <x v="79"/>
    <d v="2025-03-23T00:00:00"/>
    <s v="M"/>
    <x v="0"/>
    <x v="0"/>
    <x v="0"/>
    <x v="8"/>
    <x v="1"/>
    <x v="11"/>
    <x v="1"/>
  </r>
  <r>
    <s v="TX502194"/>
    <x v="2"/>
    <x v="2"/>
    <n v="70.599999999999994"/>
    <x v="1651"/>
    <x v="80"/>
    <d v="2025-03-22T00:00:00"/>
    <s v="F"/>
    <x v="0"/>
    <x v="1"/>
    <x v="0"/>
    <x v="8"/>
    <x v="7"/>
    <x v="11"/>
    <x v="2"/>
  </r>
  <r>
    <s v="TX502195"/>
    <x v="14"/>
    <x v="12"/>
    <n v="26.1"/>
    <x v="1652"/>
    <x v="80"/>
    <d v="2025-03-24T00:00:00"/>
    <s v="M"/>
    <x v="0"/>
    <x v="0"/>
    <x v="0"/>
    <x v="8"/>
    <x v="1"/>
    <x v="11"/>
    <x v="1"/>
  </r>
  <r>
    <s v="TX502196"/>
    <x v="9"/>
    <x v="5"/>
    <n v="34.5"/>
    <x v="1653"/>
    <x v="80"/>
    <d v="2025-03-26T00:00:00"/>
    <s v="M"/>
    <x v="2"/>
    <x v="0"/>
    <x v="0"/>
    <x v="17"/>
    <x v="5"/>
    <x v="11"/>
    <x v="1"/>
  </r>
  <r>
    <s v="TX502197"/>
    <x v="1"/>
    <x v="1"/>
    <n v="64.2"/>
    <x v="58"/>
    <x v="80"/>
    <d v="2025-03-23T00:00:00"/>
    <s v="F"/>
    <x v="0"/>
    <x v="1"/>
    <x v="0"/>
    <x v="17"/>
    <x v="3"/>
    <x v="11"/>
    <x v="2"/>
  </r>
  <r>
    <s v="TX502198"/>
    <x v="2"/>
    <x v="12"/>
    <n v="145.69999999999999"/>
    <x v="1654"/>
    <x v="80"/>
    <d v="2025-03-23T00:00:00"/>
    <s v="F"/>
    <x v="0"/>
    <x v="4"/>
    <x v="0"/>
    <x v="17"/>
    <x v="3"/>
    <x v="11"/>
    <x v="2"/>
  </r>
  <r>
    <s v="TX502199"/>
    <x v="12"/>
    <x v="1"/>
    <n v="78.5"/>
    <x v="1655"/>
    <x v="80"/>
    <d v="2025-03-23T00:00:00"/>
    <s v="M"/>
    <x v="2"/>
    <x v="0"/>
    <x v="0"/>
    <x v="26"/>
    <x v="3"/>
    <x v="11"/>
    <x v="1"/>
  </r>
  <r>
    <s v="TX502200"/>
    <x v="1"/>
    <x v="0"/>
    <n v="34.200000000000003"/>
    <x v="1656"/>
    <x v="80"/>
    <d v="2025-03-24T00:00:00"/>
    <s v="M"/>
    <x v="0"/>
    <x v="0"/>
    <x v="0"/>
    <x v="9"/>
    <x v="1"/>
    <x v="11"/>
    <x v="1"/>
  </r>
  <r>
    <s v="TX502201"/>
    <x v="19"/>
    <x v="0"/>
    <n v="26.2"/>
    <x v="1102"/>
    <x v="80"/>
    <d v="2025-03-23T00:00:00"/>
    <s v="M"/>
    <x v="2"/>
    <x v="0"/>
    <x v="0"/>
    <x v="9"/>
    <x v="3"/>
    <x v="11"/>
    <x v="1"/>
  </r>
  <r>
    <s v="TX502202"/>
    <x v="6"/>
    <x v="12"/>
    <n v="53.2"/>
    <x v="1547"/>
    <x v="80"/>
    <d v="2025-03-23T00:00:00"/>
    <s v="M"/>
    <x v="1"/>
    <x v="1"/>
    <x v="0"/>
    <x v="11"/>
    <x v="3"/>
    <x v="11"/>
    <x v="1"/>
  </r>
  <r>
    <s v="TX502203"/>
    <x v="1"/>
    <x v="0"/>
    <n v="35.4"/>
    <x v="1657"/>
    <x v="80"/>
    <d v="2025-03-26T00:00:00"/>
    <s v="M"/>
    <x v="1"/>
    <x v="4"/>
    <x v="0"/>
    <x v="18"/>
    <x v="5"/>
    <x v="11"/>
    <x v="1"/>
  </r>
  <r>
    <s v="TX502204"/>
    <x v="14"/>
    <x v="1"/>
    <n v="21.3"/>
    <x v="440"/>
    <x v="80"/>
    <d v="2025-03-23T00:00:00"/>
    <s v="M"/>
    <x v="2"/>
    <x v="0"/>
    <x v="0"/>
    <x v="20"/>
    <x v="3"/>
    <x v="11"/>
    <x v="1"/>
  </r>
  <r>
    <s v="TX502205"/>
    <x v="8"/>
    <x v="12"/>
    <n v="32.9"/>
    <x v="1423"/>
    <x v="80"/>
    <d v="2025-03-25T00:00:00"/>
    <s v="F"/>
    <x v="4"/>
    <x v="2"/>
    <x v="0"/>
    <x v="21"/>
    <x v="2"/>
    <x v="11"/>
    <x v="2"/>
  </r>
  <r>
    <s v="TX502206"/>
    <x v="5"/>
    <x v="20"/>
    <n v="85.5"/>
    <x v="1658"/>
    <x v="80"/>
    <d v="2025-03-24T00:00:00"/>
    <s v="F"/>
    <x v="3"/>
    <x v="1"/>
    <x v="0"/>
    <x v="21"/>
    <x v="1"/>
    <x v="11"/>
    <x v="2"/>
  </r>
  <r>
    <s v="TX502207"/>
    <x v="4"/>
    <x v="0"/>
    <n v="26.8"/>
    <x v="63"/>
    <x v="80"/>
    <d v="2025-03-23T00:00:00"/>
    <s v="F"/>
    <x v="0"/>
    <x v="1"/>
    <x v="0"/>
    <x v="2"/>
    <x v="3"/>
    <x v="11"/>
    <x v="2"/>
  </r>
  <r>
    <s v="TX502208"/>
    <x v="9"/>
    <x v="18"/>
    <n v="31.7"/>
    <x v="1659"/>
    <x v="80"/>
    <d v="2025-03-22T00:00:00"/>
    <s v="F"/>
    <x v="3"/>
    <x v="0"/>
    <x v="0"/>
    <x v="2"/>
    <x v="7"/>
    <x v="11"/>
    <x v="2"/>
  </r>
  <r>
    <s v="TX502209"/>
    <x v="1"/>
    <x v="1"/>
    <n v="78.3"/>
    <x v="1660"/>
    <x v="80"/>
    <d v="2025-03-24T00:00:00"/>
    <s v="F"/>
    <x v="1"/>
    <x v="1"/>
    <x v="0"/>
    <x v="3"/>
    <x v="1"/>
    <x v="11"/>
    <x v="2"/>
  </r>
  <r>
    <s v="TX502210"/>
    <x v="6"/>
    <x v="0"/>
    <n v="43.9"/>
    <x v="1661"/>
    <x v="80"/>
    <d v="2025-03-23T00:00:00"/>
    <s v="M"/>
    <x v="0"/>
    <x v="0"/>
    <x v="0"/>
    <x v="3"/>
    <x v="3"/>
    <x v="11"/>
    <x v="1"/>
  </r>
  <r>
    <s v="TX502211"/>
    <x v="18"/>
    <x v="2"/>
    <n v="84"/>
    <x v="816"/>
    <x v="80"/>
    <d v="2025-03-24T00:00:00"/>
    <s v=""/>
    <x v="3"/>
    <x v="2"/>
    <x v="0"/>
    <x v="3"/>
    <x v="1"/>
    <x v="11"/>
    <x v="0"/>
  </r>
  <r>
    <s v="TX502212"/>
    <x v="0"/>
    <x v="2"/>
    <n v="11.4"/>
    <x v="1656"/>
    <x v="80"/>
    <d v="2025-03-23T00:00:00"/>
    <s v="M"/>
    <x v="4"/>
    <x v="0"/>
    <x v="0"/>
    <x v="3"/>
    <x v="3"/>
    <x v="11"/>
    <x v="1"/>
  </r>
  <r>
    <s v="TX502213"/>
    <x v="12"/>
    <x v="8"/>
    <n v="47.5"/>
    <x v="1662"/>
    <x v="80"/>
    <d v="2025-03-30T00:00:00"/>
    <s v="F"/>
    <x v="0"/>
    <x v="0"/>
    <x v="0"/>
    <x v="3"/>
    <x v="9"/>
    <x v="11"/>
    <x v="2"/>
  </r>
  <r>
    <s v="TX502214"/>
    <x v="9"/>
    <x v="5"/>
    <n v="50.5"/>
    <x v="1663"/>
    <x v="80"/>
    <d v="2025-03-24T00:00:00"/>
    <s v="M"/>
    <x v="2"/>
    <x v="0"/>
    <x v="0"/>
    <x v="3"/>
    <x v="1"/>
    <x v="11"/>
    <x v="1"/>
  </r>
  <r>
    <s v="TX502215"/>
    <x v="15"/>
    <x v="0"/>
    <n v="36.299999999999997"/>
    <x v="1277"/>
    <x v="80"/>
    <d v="2025-03-25T00:00:00"/>
    <s v="O"/>
    <x v="0"/>
    <x v="1"/>
    <x v="0"/>
    <x v="8"/>
    <x v="2"/>
    <x v="11"/>
    <x v="3"/>
  </r>
  <r>
    <s v="TX502216"/>
    <x v="8"/>
    <x v="1"/>
    <n v="35.4"/>
    <x v="1664"/>
    <x v="80"/>
    <d v="2025-03-23T00:00:00"/>
    <s v="F"/>
    <x v="0"/>
    <x v="0"/>
    <x v="0"/>
    <x v="17"/>
    <x v="3"/>
    <x v="11"/>
    <x v="2"/>
  </r>
  <r>
    <s v="TX502217"/>
    <x v="1"/>
    <x v="2"/>
    <n v="45.9"/>
    <x v="223"/>
    <x v="81"/>
    <d v="2025-03-24T00:00:00"/>
    <s v="M"/>
    <x v="3"/>
    <x v="0"/>
    <x v="0"/>
    <x v="9"/>
    <x v="3"/>
    <x v="12"/>
    <x v="1"/>
  </r>
  <r>
    <s v="TX502218"/>
    <x v="6"/>
    <x v="7"/>
    <n v="41.2"/>
    <x v="1665"/>
    <x v="81"/>
    <d v="2025-03-27T00:00:00"/>
    <s v="M"/>
    <x v="0"/>
    <x v="0"/>
    <x v="0"/>
    <x v="11"/>
    <x v="5"/>
    <x v="12"/>
    <x v="1"/>
  </r>
  <r>
    <s v="TX502219"/>
    <x v="17"/>
    <x v="1"/>
    <n v="45.1"/>
    <x v="244"/>
    <x v="81"/>
    <d v="2025-03-24T00:00:00"/>
    <s v="M"/>
    <x v="1"/>
    <x v="1"/>
    <x v="0"/>
    <x v="21"/>
    <x v="3"/>
    <x v="12"/>
    <x v="1"/>
  </r>
  <r>
    <s v="TX502220"/>
    <x v="6"/>
    <x v="7"/>
    <n v="63.6"/>
    <x v="1666"/>
    <x v="81"/>
    <d v="2025-03-23T00:00:00"/>
    <s v="M"/>
    <x v="2"/>
    <x v="0"/>
    <x v="0"/>
    <x v="1"/>
    <x v="7"/>
    <x v="12"/>
    <x v="1"/>
  </r>
  <r>
    <s v="TX502221"/>
    <x v="8"/>
    <x v="0"/>
    <n v="70.5"/>
    <x v="1012"/>
    <x v="81"/>
    <d v="2025-03-24T00:00:00"/>
    <s v="M"/>
    <x v="0"/>
    <x v="0"/>
    <x v="0"/>
    <x v="3"/>
    <x v="3"/>
    <x v="12"/>
    <x v="1"/>
  </r>
  <r>
    <s v="TX502222"/>
    <x v="6"/>
    <x v="0"/>
    <n v="41.3"/>
    <x v="1667"/>
    <x v="81"/>
    <d v="2025-03-23T00:00:00"/>
    <s v="M"/>
    <x v="4"/>
    <x v="0"/>
    <x v="0"/>
    <x v="3"/>
    <x v="7"/>
    <x v="12"/>
    <x v="1"/>
  </r>
  <r>
    <s v="TX502223"/>
    <x v="4"/>
    <x v="0"/>
    <n v="35.299999999999997"/>
    <x v="1668"/>
    <x v="81"/>
    <d v="2025-03-26T00:00:00"/>
    <s v="F"/>
    <x v="4"/>
    <x v="2"/>
    <x v="0"/>
    <x v="3"/>
    <x v="2"/>
    <x v="12"/>
    <x v="2"/>
  </r>
  <r>
    <s v="TX502224"/>
    <x v="8"/>
    <x v="9"/>
    <n v="34.700000000000003"/>
    <x v="1669"/>
    <x v="81"/>
    <d v="2025-03-24T00:00:00"/>
    <s v="F"/>
    <x v="0"/>
    <x v="2"/>
    <x v="0"/>
    <x v="3"/>
    <x v="3"/>
    <x v="12"/>
    <x v="2"/>
  </r>
  <r>
    <s v="TX502225"/>
    <x v="8"/>
    <x v="2"/>
    <n v="26.1"/>
    <x v="1670"/>
    <x v="81"/>
    <d v="2025-03-24T00:00:00"/>
    <s v="F"/>
    <x v="0"/>
    <x v="0"/>
    <x v="0"/>
    <x v="3"/>
    <x v="3"/>
    <x v="12"/>
    <x v="2"/>
  </r>
  <r>
    <s v="TX502226"/>
    <x v="9"/>
    <x v="9"/>
    <n v="22.6"/>
    <x v="548"/>
    <x v="81"/>
    <d v="2025-03-23T00:00:00"/>
    <s v="F"/>
    <x v="1"/>
    <x v="2"/>
    <x v="0"/>
    <x v="3"/>
    <x v="7"/>
    <x v="12"/>
    <x v="2"/>
  </r>
  <r>
    <s v="TX502227"/>
    <x v="2"/>
    <x v="1"/>
    <n v="154.4"/>
    <x v="1671"/>
    <x v="81"/>
    <d v="2025-03-26T00:00:00"/>
    <s v="M"/>
    <x v="1"/>
    <x v="1"/>
    <x v="0"/>
    <x v="3"/>
    <x v="2"/>
    <x v="12"/>
    <x v="1"/>
  </r>
  <r>
    <s v="TX502228"/>
    <x v="8"/>
    <x v="1"/>
    <n v="18.399999999999999"/>
    <x v="791"/>
    <x v="81"/>
    <d v="2025-03-24T00:00:00"/>
    <s v="M"/>
    <x v="0"/>
    <x v="0"/>
    <x v="0"/>
    <x v="3"/>
    <x v="3"/>
    <x v="12"/>
    <x v="1"/>
  </r>
  <r>
    <s v="TX502229"/>
    <x v="14"/>
    <x v="0"/>
    <n v="25"/>
    <x v="1672"/>
    <x v="81"/>
    <d v="2025-03-26T00:00:00"/>
    <s v="F"/>
    <x v="0"/>
    <x v="0"/>
    <x v="0"/>
    <x v="3"/>
    <x v="2"/>
    <x v="12"/>
    <x v="2"/>
  </r>
  <r>
    <s v="TX502230"/>
    <x v="2"/>
    <x v="13"/>
    <n v="105.6"/>
    <x v="1673"/>
    <x v="81"/>
    <d v="2025-03-23T00:00:00"/>
    <s v="F"/>
    <x v="0"/>
    <x v="0"/>
    <x v="0"/>
    <x v="3"/>
    <x v="7"/>
    <x v="12"/>
    <x v="2"/>
  </r>
  <r>
    <s v="TX502231"/>
    <x v="18"/>
    <x v="8"/>
    <n v="59.6"/>
    <x v="1674"/>
    <x v="81"/>
    <d v="2025-03-23T00:00:00"/>
    <s v="F"/>
    <x v="0"/>
    <x v="2"/>
    <x v="0"/>
    <x v="23"/>
    <x v="7"/>
    <x v="12"/>
    <x v="2"/>
  </r>
  <r>
    <s v="TX502232"/>
    <x v="15"/>
    <x v="2"/>
    <n v="75.400000000000006"/>
    <x v="1675"/>
    <x v="81"/>
    <d v="2025-03-28T00:00:00"/>
    <s v="M"/>
    <x v="0"/>
    <x v="1"/>
    <x v="0"/>
    <x v="7"/>
    <x v="0"/>
    <x v="12"/>
    <x v="1"/>
  </r>
  <r>
    <s v="TX502233"/>
    <x v="7"/>
    <x v="0"/>
    <n v="104.4"/>
    <x v="1652"/>
    <x v="81"/>
    <d v="2025-03-24T00:00:00"/>
    <s v="F"/>
    <x v="0"/>
    <x v="0"/>
    <x v="0"/>
    <x v="8"/>
    <x v="3"/>
    <x v="12"/>
    <x v="2"/>
  </r>
  <r>
    <s v="TX502234"/>
    <x v="2"/>
    <x v="7"/>
    <n v="208.2"/>
    <x v="1676"/>
    <x v="81"/>
    <d v="2025-03-24T00:00:00"/>
    <s v="M"/>
    <x v="0"/>
    <x v="2"/>
    <x v="0"/>
    <x v="8"/>
    <x v="3"/>
    <x v="12"/>
    <x v="1"/>
  </r>
  <r>
    <s v="TX502235"/>
    <x v="6"/>
    <x v="1"/>
    <n v="45"/>
    <x v="645"/>
    <x v="81"/>
    <d v="2025-03-26T00:00:00"/>
    <s v="F"/>
    <x v="0"/>
    <x v="0"/>
    <x v="0"/>
    <x v="10"/>
    <x v="2"/>
    <x v="12"/>
    <x v="2"/>
  </r>
  <r>
    <s v="TX502236"/>
    <x v="15"/>
    <x v="1"/>
    <n v="20.3"/>
    <x v="1352"/>
    <x v="82"/>
    <d v="2025-03-26T00:00:00"/>
    <s v=""/>
    <x v="1"/>
    <x v="0"/>
    <x v="0"/>
    <x v="11"/>
    <x v="1"/>
    <x v="12"/>
    <x v="0"/>
  </r>
  <r>
    <s v="TX502237"/>
    <x v="2"/>
    <x v="2"/>
    <n v="94.4"/>
    <x v="1677"/>
    <x v="82"/>
    <d v="2025-03-25T00:00:00"/>
    <s v="F"/>
    <x v="0"/>
    <x v="2"/>
    <x v="0"/>
    <x v="11"/>
    <x v="3"/>
    <x v="12"/>
    <x v="2"/>
  </r>
  <r>
    <s v="TX502238"/>
    <x v="9"/>
    <x v="0"/>
    <n v="49"/>
    <x v="268"/>
    <x v="82"/>
    <d v="2025-03-26T00:00:00"/>
    <s v="F"/>
    <x v="0"/>
    <x v="2"/>
    <x v="0"/>
    <x v="20"/>
    <x v="1"/>
    <x v="12"/>
    <x v="2"/>
  </r>
  <r>
    <s v="TX502239"/>
    <x v="4"/>
    <x v="1"/>
    <n v="27.2"/>
    <x v="630"/>
    <x v="82"/>
    <d v="2025-03-26T00:00:00"/>
    <s v="M"/>
    <x v="0"/>
    <x v="2"/>
    <x v="0"/>
    <x v="1"/>
    <x v="1"/>
    <x v="12"/>
    <x v="1"/>
  </r>
  <r>
    <s v="TX502240"/>
    <x v="2"/>
    <x v="13"/>
    <n v="72.599999999999994"/>
    <x v="349"/>
    <x v="82"/>
    <d v="2025-03-25T00:00:00"/>
    <s v="F"/>
    <x v="0"/>
    <x v="2"/>
    <x v="0"/>
    <x v="2"/>
    <x v="3"/>
    <x v="12"/>
    <x v="2"/>
  </r>
  <r>
    <s v="TX502241"/>
    <x v="15"/>
    <x v="12"/>
    <n v="62.4"/>
    <x v="1267"/>
    <x v="82"/>
    <d v="2025-03-25T00:00:00"/>
    <s v="F"/>
    <x v="0"/>
    <x v="0"/>
    <x v="0"/>
    <x v="3"/>
    <x v="3"/>
    <x v="12"/>
    <x v="2"/>
  </r>
  <r>
    <s v="TX502242"/>
    <x v="8"/>
    <x v="2"/>
    <n v="19.100000000000001"/>
    <x v="1281"/>
    <x v="82"/>
    <d v="2025-03-26T00:00:00"/>
    <s v="M"/>
    <x v="0"/>
    <x v="1"/>
    <x v="0"/>
    <x v="3"/>
    <x v="1"/>
    <x v="12"/>
    <x v="1"/>
  </r>
  <r>
    <s v="TX502243"/>
    <x v="10"/>
    <x v="0"/>
    <n v="29.6"/>
    <x v="1678"/>
    <x v="82"/>
    <d v="2025-03-28T00:00:00"/>
    <s v="M"/>
    <x v="0"/>
    <x v="4"/>
    <x v="0"/>
    <x v="3"/>
    <x v="5"/>
    <x v="12"/>
    <x v="1"/>
  </r>
  <r>
    <s v="TX502244"/>
    <x v="8"/>
    <x v="1"/>
    <n v="18.899999999999999"/>
    <x v="463"/>
    <x v="82"/>
    <d v="2025-03-26T00:00:00"/>
    <s v="F"/>
    <x v="4"/>
    <x v="2"/>
    <x v="0"/>
    <x v="3"/>
    <x v="1"/>
    <x v="12"/>
    <x v="2"/>
  </r>
  <r>
    <s v="TX502245"/>
    <x v="10"/>
    <x v="9"/>
    <n v="41.4"/>
    <x v="461"/>
    <x v="82"/>
    <d v="2025-03-25T00:00:00"/>
    <s v="M"/>
    <x v="3"/>
    <x v="0"/>
    <x v="0"/>
    <x v="3"/>
    <x v="3"/>
    <x v="12"/>
    <x v="1"/>
  </r>
  <r>
    <s v="TX502246"/>
    <x v="2"/>
    <x v="0"/>
    <n v="118.4"/>
    <x v="1250"/>
    <x v="82"/>
    <d v="2025-03-25T00:00:00"/>
    <s v="F"/>
    <x v="0"/>
    <x v="2"/>
    <x v="0"/>
    <x v="3"/>
    <x v="3"/>
    <x v="12"/>
    <x v="2"/>
  </r>
  <r>
    <s v="TX502247"/>
    <x v="2"/>
    <x v="1"/>
    <n v="125.3"/>
    <x v="1679"/>
    <x v="82"/>
    <d v="2025-03-27T00:00:00"/>
    <s v="F"/>
    <x v="0"/>
    <x v="2"/>
    <x v="0"/>
    <x v="3"/>
    <x v="2"/>
    <x v="12"/>
    <x v="2"/>
  </r>
  <r>
    <s v="TX502248"/>
    <x v="3"/>
    <x v="1"/>
    <n v="85.8"/>
    <x v="1512"/>
    <x v="82"/>
    <d v="2025-03-25T00:00:00"/>
    <s v="F"/>
    <x v="1"/>
    <x v="4"/>
    <x v="0"/>
    <x v="3"/>
    <x v="3"/>
    <x v="12"/>
    <x v="2"/>
  </r>
  <r>
    <s v="TX502249"/>
    <x v="6"/>
    <x v="0"/>
    <n v="44.2"/>
    <x v="573"/>
    <x v="82"/>
    <d v="2025-03-27T00:00:00"/>
    <s v="M"/>
    <x v="1"/>
    <x v="0"/>
    <x v="0"/>
    <x v="3"/>
    <x v="2"/>
    <x v="12"/>
    <x v="1"/>
  </r>
  <r>
    <s v="TX502250"/>
    <x v="5"/>
    <x v="12"/>
    <n v="74.099999999999994"/>
    <x v="764"/>
    <x v="82"/>
    <d v="2025-03-26T00:00:00"/>
    <s v="F"/>
    <x v="0"/>
    <x v="0"/>
    <x v="0"/>
    <x v="3"/>
    <x v="1"/>
    <x v="12"/>
    <x v="2"/>
  </r>
  <r>
    <s v="TX502251"/>
    <x v="8"/>
    <x v="0"/>
    <n v="33.799999999999997"/>
    <x v="1680"/>
    <x v="82"/>
    <d v="2025-03-25T00:00:00"/>
    <s v="F"/>
    <x v="2"/>
    <x v="2"/>
    <x v="0"/>
    <x v="24"/>
    <x v="3"/>
    <x v="12"/>
    <x v="2"/>
  </r>
  <r>
    <s v="TX502252"/>
    <x v="1"/>
    <x v="1"/>
    <n v="39.1"/>
    <x v="1148"/>
    <x v="82"/>
    <d v="2025-03-25T00:00:00"/>
    <s v="M"/>
    <x v="0"/>
    <x v="1"/>
    <x v="0"/>
    <x v="24"/>
    <x v="3"/>
    <x v="12"/>
    <x v="1"/>
  </r>
  <r>
    <s v="TX502253"/>
    <x v="0"/>
    <x v="0"/>
    <n v="37.200000000000003"/>
    <x v="804"/>
    <x v="82"/>
    <d v="2025-03-25T00:00:00"/>
    <s v="M"/>
    <x v="0"/>
    <x v="1"/>
    <x v="0"/>
    <x v="16"/>
    <x v="3"/>
    <x v="12"/>
    <x v="1"/>
  </r>
  <r>
    <s v="TX502254"/>
    <x v="15"/>
    <x v="2"/>
    <n v="33.9"/>
    <x v="1681"/>
    <x v="82"/>
    <d v="2025-03-26T00:00:00"/>
    <s v="M"/>
    <x v="2"/>
    <x v="0"/>
    <x v="0"/>
    <x v="6"/>
    <x v="1"/>
    <x v="12"/>
    <x v="1"/>
  </r>
  <r>
    <s v="TX502255"/>
    <x v="7"/>
    <x v="20"/>
    <n v="73.3"/>
    <x v="1682"/>
    <x v="82"/>
    <d v="2025-03-27T00:00:00"/>
    <s v="F"/>
    <x v="2"/>
    <x v="1"/>
    <x v="0"/>
    <x v="8"/>
    <x v="2"/>
    <x v="12"/>
    <x v="2"/>
  </r>
  <r>
    <s v="TX502256"/>
    <x v="8"/>
    <x v="12"/>
    <n v="35"/>
    <x v="1683"/>
    <x v="82"/>
    <d v="2025-03-26T00:00:00"/>
    <s v="F"/>
    <x v="1"/>
    <x v="0"/>
    <x v="0"/>
    <x v="8"/>
    <x v="1"/>
    <x v="12"/>
    <x v="2"/>
  </r>
  <r>
    <s v="TX502257"/>
    <x v="0"/>
    <x v="2"/>
    <n v="22.2"/>
    <x v="815"/>
    <x v="82"/>
    <d v="2025-03-25T00:00:00"/>
    <s v="M"/>
    <x v="1"/>
    <x v="0"/>
    <x v="0"/>
    <x v="17"/>
    <x v="3"/>
    <x v="12"/>
    <x v="1"/>
  </r>
  <r>
    <s v="TX502258"/>
    <x v="10"/>
    <x v="0"/>
    <n v="32.4"/>
    <x v="1684"/>
    <x v="82"/>
    <d v="2025-03-25T00:00:00"/>
    <s v="F"/>
    <x v="0"/>
    <x v="0"/>
    <x v="0"/>
    <x v="11"/>
    <x v="3"/>
    <x v="12"/>
    <x v="2"/>
  </r>
  <r>
    <s v="TX502259"/>
    <x v="5"/>
    <x v="2"/>
    <n v="88.4"/>
    <x v="1685"/>
    <x v="83"/>
    <d v="2025-03-27T00:00:00"/>
    <s v="F"/>
    <x v="1"/>
    <x v="1"/>
    <x v="0"/>
    <x v="11"/>
    <x v="1"/>
    <x v="12"/>
    <x v="2"/>
  </r>
  <r>
    <s v="TX502260"/>
    <x v="5"/>
    <x v="27"/>
    <n v="30.5"/>
    <x v="865"/>
    <x v="83"/>
    <d v="2025-03-26T00:00:00"/>
    <s v="F"/>
    <x v="2"/>
    <x v="0"/>
    <x v="0"/>
    <x v="11"/>
    <x v="3"/>
    <x v="12"/>
    <x v="2"/>
  </r>
  <r>
    <s v="TX502261"/>
    <x v="1"/>
    <x v="13"/>
    <n v="38.1"/>
    <x v="1686"/>
    <x v="83"/>
    <d v="2025-03-27T00:00:00"/>
    <s v="F"/>
    <x v="0"/>
    <x v="1"/>
    <x v="0"/>
    <x v="11"/>
    <x v="1"/>
    <x v="12"/>
    <x v="2"/>
  </r>
  <r>
    <s v="TX502262"/>
    <x v="10"/>
    <x v="9"/>
    <n v="37.6"/>
    <x v="885"/>
    <x v="83"/>
    <d v="2025-03-29T00:00:00"/>
    <s v="M"/>
    <x v="0"/>
    <x v="0"/>
    <x v="0"/>
    <x v="11"/>
    <x v="5"/>
    <x v="12"/>
    <x v="1"/>
  </r>
  <r>
    <s v="TX502263"/>
    <x v="15"/>
    <x v="1"/>
    <n v="31.4"/>
    <x v="143"/>
    <x v="83"/>
    <d v="2025-03-26T00:00:00"/>
    <s v="M"/>
    <x v="0"/>
    <x v="2"/>
    <x v="0"/>
    <x v="11"/>
    <x v="3"/>
    <x v="12"/>
    <x v="1"/>
  </r>
  <r>
    <s v="TX502264"/>
    <x v="6"/>
    <x v="1"/>
    <n v="61.5"/>
    <x v="1287"/>
    <x v="83"/>
    <d v="2025-03-26T00:00:00"/>
    <s v="M"/>
    <x v="3"/>
    <x v="0"/>
    <x v="0"/>
    <x v="31"/>
    <x v="3"/>
    <x v="12"/>
    <x v="1"/>
  </r>
  <r>
    <s v="TX502265"/>
    <x v="6"/>
    <x v="0"/>
    <n v="72.599999999999994"/>
    <x v="1325"/>
    <x v="83"/>
    <d v="2025-03-26T00:00:00"/>
    <s v="M"/>
    <x v="0"/>
    <x v="1"/>
    <x v="0"/>
    <x v="21"/>
    <x v="3"/>
    <x v="12"/>
    <x v="1"/>
  </r>
  <r>
    <s v="TX502266"/>
    <x v="9"/>
    <x v="2"/>
    <n v="26.9"/>
    <x v="1687"/>
    <x v="83"/>
    <d v="2025-03-30T00:00:00"/>
    <s v="O"/>
    <x v="4"/>
    <x v="1"/>
    <x v="0"/>
    <x v="46"/>
    <x v="0"/>
    <x v="12"/>
    <x v="3"/>
  </r>
  <r>
    <s v="TX502267"/>
    <x v="17"/>
    <x v="4"/>
    <n v="29.4"/>
    <x v="1688"/>
    <x v="83"/>
    <d v="2025-03-26T00:00:00"/>
    <s v="F"/>
    <x v="1"/>
    <x v="0"/>
    <x v="0"/>
    <x v="51"/>
    <x v="3"/>
    <x v="12"/>
    <x v="2"/>
  </r>
  <r>
    <s v="TX502268"/>
    <x v="17"/>
    <x v="1"/>
    <n v="42.1"/>
    <x v="903"/>
    <x v="83"/>
    <d v="2025-03-26T00:00:00"/>
    <s v="F"/>
    <x v="3"/>
    <x v="1"/>
    <x v="0"/>
    <x v="1"/>
    <x v="3"/>
    <x v="12"/>
    <x v="2"/>
  </r>
  <r>
    <s v="TX502269"/>
    <x v="5"/>
    <x v="0"/>
    <n v="40.5"/>
    <x v="1117"/>
    <x v="83"/>
    <d v="2025-03-26T00:00:00"/>
    <s v="F"/>
    <x v="2"/>
    <x v="1"/>
    <x v="0"/>
    <x v="1"/>
    <x v="3"/>
    <x v="12"/>
    <x v="2"/>
  </r>
  <r>
    <s v="TX502270"/>
    <x v="2"/>
    <x v="12"/>
    <n v="182.3"/>
    <x v="1689"/>
    <x v="83"/>
    <d v="2025-03-26T00:00:00"/>
    <s v="F"/>
    <x v="1"/>
    <x v="0"/>
    <x v="0"/>
    <x v="1"/>
    <x v="3"/>
    <x v="12"/>
    <x v="2"/>
  </r>
  <r>
    <s v="TX502271"/>
    <x v="2"/>
    <x v="9"/>
    <n v="157"/>
    <x v="1690"/>
    <x v="83"/>
    <d v="2025-03-28T00:00:00"/>
    <s v="F"/>
    <x v="1"/>
    <x v="2"/>
    <x v="0"/>
    <x v="2"/>
    <x v="2"/>
    <x v="12"/>
    <x v="2"/>
  </r>
  <r>
    <s v="TX502272"/>
    <x v="17"/>
    <x v="9"/>
    <n v="45.2"/>
    <x v="326"/>
    <x v="83"/>
    <d v="2025-03-28T00:00:00"/>
    <s v="F"/>
    <x v="1"/>
    <x v="0"/>
    <x v="0"/>
    <x v="22"/>
    <x v="2"/>
    <x v="12"/>
    <x v="2"/>
  </r>
  <r>
    <s v="TX502273"/>
    <x v="15"/>
    <x v="12"/>
    <n v="27.4"/>
    <x v="1239"/>
    <x v="83"/>
    <d v="2025-03-27T00:00:00"/>
    <s v="F"/>
    <x v="0"/>
    <x v="0"/>
    <x v="0"/>
    <x v="3"/>
    <x v="1"/>
    <x v="12"/>
    <x v="2"/>
  </r>
  <r>
    <s v="TX502274"/>
    <x v="5"/>
    <x v="9"/>
    <n v="34.1"/>
    <x v="1691"/>
    <x v="83"/>
    <d v="2025-03-27T00:00:00"/>
    <s v="M"/>
    <x v="0"/>
    <x v="2"/>
    <x v="0"/>
    <x v="3"/>
    <x v="1"/>
    <x v="12"/>
    <x v="1"/>
  </r>
  <r>
    <s v="TX502275"/>
    <x v="0"/>
    <x v="1"/>
    <n v="26"/>
    <x v="1692"/>
    <x v="83"/>
    <d v="2025-03-27T00:00:00"/>
    <s v="M"/>
    <x v="2"/>
    <x v="1"/>
    <x v="0"/>
    <x v="3"/>
    <x v="1"/>
    <x v="12"/>
    <x v="1"/>
  </r>
  <r>
    <s v="TX502276"/>
    <x v="8"/>
    <x v="3"/>
    <n v="19.399999999999999"/>
    <x v="1693"/>
    <x v="83"/>
    <d v="2025-03-27T00:00:00"/>
    <s v=""/>
    <x v="1"/>
    <x v="1"/>
    <x v="0"/>
    <x v="3"/>
    <x v="1"/>
    <x v="12"/>
    <x v="0"/>
  </r>
  <r>
    <s v="TX502277"/>
    <x v="16"/>
    <x v="2"/>
    <n v="30.3"/>
    <x v="407"/>
    <x v="83"/>
    <d v="2025-03-28T00:00:00"/>
    <s v="F"/>
    <x v="1"/>
    <x v="2"/>
    <x v="0"/>
    <x v="3"/>
    <x v="2"/>
    <x v="12"/>
    <x v="2"/>
  </r>
  <r>
    <s v="TX502278"/>
    <x v="2"/>
    <x v="2"/>
    <n v="101.4"/>
    <x v="1694"/>
    <x v="83"/>
    <d v="2025-03-26T00:00:00"/>
    <s v="M"/>
    <x v="0"/>
    <x v="0"/>
    <x v="0"/>
    <x v="3"/>
    <x v="3"/>
    <x v="12"/>
    <x v="1"/>
  </r>
  <r>
    <s v="TX502279"/>
    <x v="3"/>
    <x v="9"/>
    <n v="55.5"/>
    <x v="819"/>
    <x v="83"/>
    <d v="2025-03-28T00:00:00"/>
    <s v="M"/>
    <x v="1"/>
    <x v="0"/>
    <x v="0"/>
    <x v="24"/>
    <x v="2"/>
    <x v="12"/>
    <x v="1"/>
  </r>
  <r>
    <s v="TX502280"/>
    <x v="8"/>
    <x v="0"/>
    <n v="23.1"/>
    <x v="1695"/>
    <x v="83"/>
    <d v="2025-03-26T00:00:00"/>
    <s v="M"/>
    <x v="0"/>
    <x v="0"/>
    <x v="0"/>
    <x v="25"/>
    <x v="3"/>
    <x v="12"/>
    <x v="1"/>
  </r>
  <r>
    <s v="TX502281"/>
    <x v="18"/>
    <x v="1"/>
    <n v="38.9"/>
    <x v="482"/>
    <x v="83"/>
    <d v="2025-03-26T00:00:00"/>
    <s v="M"/>
    <x v="2"/>
    <x v="0"/>
    <x v="0"/>
    <x v="25"/>
    <x v="3"/>
    <x v="12"/>
    <x v="1"/>
  </r>
  <r>
    <s v="TX502282"/>
    <x v="6"/>
    <x v="11"/>
    <n v="116.3"/>
    <x v="1696"/>
    <x v="83"/>
    <d v="2025-03-29T00:00:00"/>
    <s v="F"/>
    <x v="0"/>
    <x v="0"/>
    <x v="0"/>
    <x v="5"/>
    <x v="5"/>
    <x v="12"/>
    <x v="2"/>
  </r>
  <r>
    <s v="TX502283"/>
    <x v="16"/>
    <x v="11"/>
    <n v="64.099999999999994"/>
    <x v="1697"/>
    <x v="83"/>
    <d v="2025-03-25T00:00:00"/>
    <s v="F"/>
    <x v="0"/>
    <x v="2"/>
    <x v="0"/>
    <x v="6"/>
    <x v="7"/>
    <x v="12"/>
    <x v="2"/>
  </r>
  <r>
    <s v="TX502284"/>
    <x v="2"/>
    <x v="13"/>
    <n v="109.2"/>
    <x v="1698"/>
    <x v="83"/>
    <d v="2025-03-27T00:00:00"/>
    <s v="M"/>
    <x v="0"/>
    <x v="1"/>
    <x v="0"/>
    <x v="8"/>
    <x v="1"/>
    <x v="12"/>
    <x v="1"/>
  </r>
  <r>
    <s v="TX502285"/>
    <x v="10"/>
    <x v="9"/>
    <n v="23.2"/>
    <x v="1699"/>
    <x v="84"/>
    <d v="2025-03-27T00:00:00"/>
    <s v="M"/>
    <x v="0"/>
    <x v="1"/>
    <x v="0"/>
    <x v="8"/>
    <x v="3"/>
    <x v="12"/>
    <x v="1"/>
  </r>
  <r>
    <s v="TX502286"/>
    <x v="18"/>
    <x v="13"/>
    <n v="81.2"/>
    <x v="1700"/>
    <x v="84"/>
    <d v="2025-03-28T00:00:00"/>
    <s v="M"/>
    <x v="2"/>
    <x v="2"/>
    <x v="0"/>
    <x v="8"/>
    <x v="1"/>
    <x v="12"/>
    <x v="1"/>
  </r>
  <r>
    <s v="TX502287"/>
    <x v="1"/>
    <x v="21"/>
    <n v="35.700000000000003"/>
    <x v="1701"/>
    <x v="84"/>
    <d v="2025-03-27T00:00:00"/>
    <s v="M"/>
    <x v="3"/>
    <x v="0"/>
    <x v="0"/>
    <x v="8"/>
    <x v="3"/>
    <x v="12"/>
    <x v="1"/>
  </r>
  <r>
    <s v="TX502288"/>
    <x v="7"/>
    <x v="1"/>
    <n v="44.5"/>
    <x v="1702"/>
    <x v="84"/>
    <d v="2025-03-29T00:00:00"/>
    <s v="M"/>
    <x v="4"/>
    <x v="0"/>
    <x v="0"/>
    <x v="9"/>
    <x v="2"/>
    <x v="12"/>
    <x v="1"/>
  </r>
  <r>
    <s v="TX502289"/>
    <x v="1"/>
    <x v="9"/>
    <n v="32"/>
    <x v="444"/>
    <x v="84"/>
    <d v="2025-03-28T00:00:00"/>
    <s v="O"/>
    <x v="1"/>
    <x v="1"/>
    <x v="0"/>
    <x v="9"/>
    <x v="1"/>
    <x v="12"/>
    <x v="3"/>
  </r>
  <r>
    <s v="TX502290"/>
    <x v="8"/>
    <x v="0"/>
    <n v="25.7"/>
    <x v="1703"/>
    <x v="84"/>
    <d v="2025-03-27T00:00:00"/>
    <s v="M"/>
    <x v="0"/>
    <x v="0"/>
    <x v="0"/>
    <x v="10"/>
    <x v="3"/>
    <x v="12"/>
    <x v="1"/>
  </r>
  <r>
    <s v="TX502291"/>
    <x v="16"/>
    <x v="2"/>
    <n v="65.599999999999994"/>
    <x v="487"/>
    <x v="84"/>
    <d v="2025-04-01T00:00:00"/>
    <s v="M"/>
    <x v="0"/>
    <x v="0"/>
    <x v="0"/>
    <x v="11"/>
    <x v="4"/>
    <x v="12"/>
    <x v="1"/>
  </r>
  <r>
    <s v="TX502292"/>
    <x v="1"/>
    <x v="12"/>
    <n v="52.1"/>
    <x v="1704"/>
    <x v="84"/>
    <d v="2025-03-27T00:00:00"/>
    <s v="F"/>
    <x v="0"/>
    <x v="2"/>
    <x v="0"/>
    <x v="11"/>
    <x v="3"/>
    <x v="12"/>
    <x v="2"/>
  </r>
  <r>
    <s v="TX502293"/>
    <x v="8"/>
    <x v="0"/>
    <n v="31"/>
    <x v="1705"/>
    <x v="84"/>
    <d v="2025-03-27T00:00:00"/>
    <s v="M"/>
    <x v="0"/>
    <x v="1"/>
    <x v="0"/>
    <x v="19"/>
    <x v="3"/>
    <x v="12"/>
    <x v="1"/>
  </r>
  <r>
    <s v="TX502294"/>
    <x v="8"/>
    <x v="0"/>
    <n v="32"/>
    <x v="109"/>
    <x v="84"/>
    <d v="2025-03-28T00:00:00"/>
    <s v="O"/>
    <x v="3"/>
    <x v="1"/>
    <x v="0"/>
    <x v="31"/>
    <x v="1"/>
    <x v="12"/>
    <x v="3"/>
  </r>
  <r>
    <s v="TX502295"/>
    <x v="16"/>
    <x v="12"/>
    <n v="58.3"/>
    <x v="1706"/>
    <x v="84"/>
    <d v="2025-03-30T00:00:00"/>
    <s v="M"/>
    <x v="1"/>
    <x v="4"/>
    <x v="0"/>
    <x v="20"/>
    <x v="5"/>
    <x v="12"/>
    <x v="1"/>
  </r>
  <r>
    <s v="TX502296"/>
    <x v="8"/>
    <x v="2"/>
    <n v="31"/>
    <x v="1707"/>
    <x v="84"/>
    <d v="2025-03-28T00:00:00"/>
    <s v="F"/>
    <x v="2"/>
    <x v="4"/>
    <x v="0"/>
    <x v="13"/>
    <x v="1"/>
    <x v="12"/>
    <x v="2"/>
  </r>
  <r>
    <s v="TX502297"/>
    <x v="3"/>
    <x v="0"/>
    <n v="40.299999999999997"/>
    <x v="518"/>
    <x v="84"/>
    <d v="2025-03-27T00:00:00"/>
    <s v="M"/>
    <x v="1"/>
    <x v="2"/>
    <x v="0"/>
    <x v="54"/>
    <x v="3"/>
    <x v="12"/>
    <x v="1"/>
  </r>
  <r>
    <s v="TX502298"/>
    <x v="6"/>
    <x v="2"/>
    <n v="47.3"/>
    <x v="1708"/>
    <x v="84"/>
    <d v="2025-03-28T00:00:00"/>
    <s v="M"/>
    <x v="4"/>
    <x v="2"/>
    <x v="0"/>
    <x v="2"/>
    <x v="1"/>
    <x v="12"/>
    <x v="1"/>
  </r>
  <r>
    <s v="TX502299"/>
    <x v="2"/>
    <x v="0"/>
    <n v="82.8"/>
    <x v="1182"/>
    <x v="84"/>
    <d v="2025-03-27T00:00:00"/>
    <s v="M"/>
    <x v="0"/>
    <x v="0"/>
    <x v="0"/>
    <x v="2"/>
    <x v="3"/>
    <x v="12"/>
    <x v="1"/>
  </r>
  <r>
    <s v="TX502300"/>
    <x v="8"/>
    <x v="0"/>
    <n v="18.5"/>
    <x v="1709"/>
    <x v="84"/>
    <d v="2025-04-09T00:00:00"/>
    <s v="F"/>
    <x v="0"/>
    <x v="0"/>
    <x v="0"/>
    <x v="44"/>
    <x v="12"/>
    <x v="12"/>
    <x v="2"/>
  </r>
  <r>
    <s v="TX502301"/>
    <x v="3"/>
    <x v="1"/>
    <n v="60.4"/>
    <x v="1710"/>
    <x v="84"/>
    <d v="2025-03-27T00:00:00"/>
    <s v="M"/>
    <x v="2"/>
    <x v="0"/>
    <x v="0"/>
    <x v="22"/>
    <x v="3"/>
    <x v="12"/>
    <x v="1"/>
  </r>
  <r>
    <s v="TX502302"/>
    <x v="6"/>
    <x v="9"/>
    <n v="80.2"/>
    <x v="1711"/>
    <x v="84"/>
    <d v="2025-04-02T00:00:00"/>
    <s v="M"/>
    <x v="1"/>
    <x v="1"/>
    <x v="0"/>
    <x v="50"/>
    <x v="6"/>
    <x v="12"/>
    <x v="1"/>
  </r>
  <r>
    <s v="TX502303"/>
    <x v="4"/>
    <x v="0"/>
    <n v="41.5"/>
    <x v="1712"/>
    <x v="84"/>
    <d v="2025-03-28T00:00:00"/>
    <s v="M"/>
    <x v="2"/>
    <x v="0"/>
    <x v="0"/>
    <x v="3"/>
    <x v="1"/>
    <x v="12"/>
    <x v="1"/>
  </r>
  <r>
    <s v="TX502304"/>
    <x v="2"/>
    <x v="1"/>
    <n v="83.9"/>
    <x v="1713"/>
    <x v="84"/>
    <d v="2025-03-29T00:00:00"/>
    <s v="F"/>
    <x v="0"/>
    <x v="0"/>
    <x v="0"/>
    <x v="3"/>
    <x v="2"/>
    <x v="12"/>
    <x v="2"/>
  </r>
  <r>
    <s v="TX502305"/>
    <x v="8"/>
    <x v="1"/>
    <n v="16.7"/>
    <x v="1417"/>
    <x v="84"/>
    <d v="2025-03-30T00:00:00"/>
    <s v="F"/>
    <x v="0"/>
    <x v="1"/>
    <x v="0"/>
    <x v="3"/>
    <x v="5"/>
    <x v="12"/>
    <x v="2"/>
  </r>
  <r>
    <s v="TX502306"/>
    <x v="9"/>
    <x v="1"/>
    <n v="72.900000000000006"/>
    <x v="1626"/>
    <x v="84"/>
    <d v="2025-03-27T00:00:00"/>
    <s v="M"/>
    <x v="2"/>
    <x v="1"/>
    <x v="0"/>
    <x v="3"/>
    <x v="3"/>
    <x v="12"/>
    <x v="1"/>
  </r>
  <r>
    <s v="TX502307"/>
    <x v="5"/>
    <x v="1"/>
    <n v="50.2"/>
    <x v="862"/>
    <x v="84"/>
    <d v="2025-03-28T00:00:00"/>
    <s v="F"/>
    <x v="1"/>
    <x v="2"/>
    <x v="0"/>
    <x v="3"/>
    <x v="1"/>
    <x v="12"/>
    <x v="2"/>
  </r>
  <r>
    <s v="TX502308"/>
    <x v="3"/>
    <x v="1"/>
    <n v="34.200000000000003"/>
    <x v="1714"/>
    <x v="84"/>
    <d v="2025-04-05T00:00:00"/>
    <s v=""/>
    <x v="1"/>
    <x v="0"/>
    <x v="0"/>
    <x v="3"/>
    <x v="14"/>
    <x v="12"/>
    <x v="0"/>
  </r>
  <r>
    <s v="TX502309"/>
    <x v="5"/>
    <x v="1"/>
    <n v="107.9"/>
    <x v="1715"/>
    <x v="84"/>
    <d v="2025-03-26T00:00:00"/>
    <s v="M"/>
    <x v="1"/>
    <x v="4"/>
    <x v="0"/>
    <x v="3"/>
    <x v="7"/>
    <x v="12"/>
    <x v="1"/>
  </r>
  <r>
    <s v="TX502310"/>
    <x v="0"/>
    <x v="2"/>
    <n v="17.5"/>
    <x v="413"/>
    <x v="84"/>
    <d v="2025-03-28T00:00:00"/>
    <s v="M"/>
    <x v="4"/>
    <x v="0"/>
    <x v="0"/>
    <x v="3"/>
    <x v="1"/>
    <x v="12"/>
    <x v="1"/>
  </r>
  <r>
    <s v="TX502311"/>
    <x v="13"/>
    <x v="20"/>
    <n v="44.7"/>
    <x v="1716"/>
    <x v="84"/>
    <d v="2025-03-27T00:00:00"/>
    <s v="M"/>
    <x v="0"/>
    <x v="1"/>
    <x v="0"/>
    <x v="3"/>
    <x v="3"/>
    <x v="12"/>
    <x v="1"/>
  </r>
  <r>
    <s v="TX502312"/>
    <x v="12"/>
    <x v="13"/>
    <n v="92.7"/>
    <x v="1717"/>
    <x v="84"/>
    <d v="2025-03-28T00:00:00"/>
    <s v="F"/>
    <x v="2"/>
    <x v="1"/>
    <x v="0"/>
    <x v="3"/>
    <x v="1"/>
    <x v="12"/>
    <x v="2"/>
  </r>
  <r>
    <s v="TX502313"/>
    <x v="7"/>
    <x v="2"/>
    <n v="48.8"/>
    <x v="1718"/>
    <x v="84"/>
    <d v="2025-03-28T00:00:00"/>
    <s v="F"/>
    <x v="2"/>
    <x v="0"/>
    <x v="0"/>
    <x v="3"/>
    <x v="1"/>
    <x v="12"/>
    <x v="2"/>
  </r>
  <r>
    <s v="TX502314"/>
    <x v="4"/>
    <x v="27"/>
    <n v="21.3"/>
    <x v="1153"/>
    <x v="84"/>
    <d v="2025-03-30T00:00:00"/>
    <s v="F"/>
    <x v="3"/>
    <x v="3"/>
    <x v="0"/>
    <x v="3"/>
    <x v="5"/>
    <x v="12"/>
    <x v="2"/>
  </r>
  <r>
    <s v="TX502315"/>
    <x v="16"/>
    <x v="0"/>
    <n v="52.5"/>
    <x v="413"/>
    <x v="84"/>
    <d v="2025-03-27T00:00:00"/>
    <s v="F"/>
    <x v="0"/>
    <x v="0"/>
    <x v="0"/>
    <x v="3"/>
    <x v="3"/>
    <x v="12"/>
    <x v="2"/>
  </r>
  <r>
    <s v="TX502316"/>
    <x v="1"/>
    <x v="1"/>
    <n v="92.4"/>
    <x v="827"/>
    <x v="84"/>
    <d v="2025-04-01T00:00:00"/>
    <s v="F"/>
    <x v="0"/>
    <x v="2"/>
    <x v="0"/>
    <x v="3"/>
    <x v="4"/>
    <x v="12"/>
    <x v="2"/>
  </r>
  <r>
    <s v="TX502317"/>
    <x v="4"/>
    <x v="5"/>
    <n v="58.3"/>
    <x v="1719"/>
    <x v="84"/>
    <d v="2025-03-28T00:00:00"/>
    <s v="M"/>
    <x v="1"/>
    <x v="2"/>
    <x v="0"/>
    <x v="3"/>
    <x v="1"/>
    <x v="12"/>
    <x v="1"/>
  </r>
  <r>
    <s v="TX502318"/>
    <x v="6"/>
    <x v="44"/>
    <n v="152.6"/>
    <x v="1720"/>
    <x v="85"/>
    <d v="2025-03-29T00:00:00"/>
    <s v=""/>
    <x v="0"/>
    <x v="0"/>
    <x v="0"/>
    <x v="3"/>
    <x v="1"/>
    <x v="12"/>
    <x v="0"/>
  </r>
  <r>
    <s v="TX502319"/>
    <x v="8"/>
    <x v="1"/>
    <n v="26"/>
    <x v="1692"/>
    <x v="85"/>
    <d v="2025-03-27T00:00:00"/>
    <s v=""/>
    <x v="0"/>
    <x v="1"/>
    <x v="0"/>
    <x v="3"/>
    <x v="7"/>
    <x v="12"/>
    <x v="0"/>
  </r>
  <r>
    <s v="TX502320"/>
    <x v="1"/>
    <x v="12"/>
    <n v="33.1"/>
    <x v="979"/>
    <x v="85"/>
    <d v="2025-03-27T00:00:00"/>
    <s v="M"/>
    <x v="2"/>
    <x v="4"/>
    <x v="0"/>
    <x v="5"/>
    <x v="7"/>
    <x v="12"/>
    <x v="1"/>
  </r>
  <r>
    <s v="TX502321"/>
    <x v="18"/>
    <x v="0"/>
    <n v="51.4"/>
    <x v="1045"/>
    <x v="85"/>
    <d v="2025-03-29T00:00:00"/>
    <s v="F"/>
    <x v="1"/>
    <x v="1"/>
    <x v="0"/>
    <x v="5"/>
    <x v="1"/>
    <x v="12"/>
    <x v="2"/>
  </r>
  <r>
    <s v="TX502322"/>
    <x v="8"/>
    <x v="1"/>
    <n v="30.2"/>
    <x v="266"/>
    <x v="85"/>
    <d v="2025-03-28T00:00:00"/>
    <s v="F"/>
    <x v="2"/>
    <x v="2"/>
    <x v="0"/>
    <x v="6"/>
    <x v="3"/>
    <x v="12"/>
    <x v="2"/>
  </r>
  <r>
    <s v="TX502323"/>
    <x v="2"/>
    <x v="13"/>
    <n v="97"/>
    <x v="1544"/>
    <x v="85"/>
    <d v="2025-03-31T00:00:00"/>
    <s v="F"/>
    <x v="0"/>
    <x v="2"/>
    <x v="0"/>
    <x v="7"/>
    <x v="5"/>
    <x v="12"/>
    <x v="2"/>
  </r>
  <r>
    <s v="TX502324"/>
    <x v="2"/>
    <x v="0"/>
    <n v="76.900000000000006"/>
    <x v="1721"/>
    <x v="85"/>
    <d v="2025-03-28T00:00:00"/>
    <s v="M"/>
    <x v="1"/>
    <x v="2"/>
    <x v="0"/>
    <x v="8"/>
    <x v="3"/>
    <x v="12"/>
    <x v="1"/>
  </r>
  <r>
    <s v="TX502325"/>
    <x v="7"/>
    <x v="13"/>
    <n v="36.1"/>
    <x v="1722"/>
    <x v="85"/>
    <d v="2025-03-31T00:00:00"/>
    <s v="F"/>
    <x v="0"/>
    <x v="0"/>
    <x v="0"/>
    <x v="8"/>
    <x v="5"/>
    <x v="12"/>
    <x v="2"/>
  </r>
  <r>
    <s v="TX502326"/>
    <x v="1"/>
    <x v="3"/>
    <n v="34.4"/>
    <x v="1723"/>
    <x v="85"/>
    <d v="2025-03-27T00:00:00"/>
    <s v="F"/>
    <x v="2"/>
    <x v="1"/>
    <x v="0"/>
    <x v="11"/>
    <x v="7"/>
    <x v="12"/>
    <x v="2"/>
  </r>
  <r>
    <s v="TX502327"/>
    <x v="1"/>
    <x v="31"/>
    <n v="53.4"/>
    <x v="1724"/>
    <x v="85"/>
    <d v="2025-03-29T00:00:00"/>
    <s v="F"/>
    <x v="1"/>
    <x v="0"/>
    <x v="0"/>
    <x v="18"/>
    <x v="1"/>
    <x v="12"/>
    <x v="2"/>
  </r>
  <r>
    <s v="TX502328"/>
    <x v="2"/>
    <x v="0"/>
    <n v="77.599999999999994"/>
    <x v="1598"/>
    <x v="85"/>
    <d v="2025-03-28T00:00:00"/>
    <s v="F"/>
    <x v="0"/>
    <x v="1"/>
    <x v="0"/>
    <x v="19"/>
    <x v="3"/>
    <x v="12"/>
    <x v="2"/>
  </r>
  <r>
    <s v="TX502329"/>
    <x v="1"/>
    <x v="2"/>
    <n v="71.7"/>
    <x v="1725"/>
    <x v="85"/>
    <d v="2025-03-30T00:00:00"/>
    <s v="F"/>
    <x v="1"/>
    <x v="0"/>
    <x v="0"/>
    <x v="19"/>
    <x v="2"/>
    <x v="12"/>
    <x v="2"/>
  </r>
  <r>
    <s v="TX502330"/>
    <x v="3"/>
    <x v="2"/>
    <n v="80.599999999999994"/>
    <x v="1726"/>
    <x v="85"/>
    <d v="2025-03-28T00:00:00"/>
    <s v="M"/>
    <x v="4"/>
    <x v="1"/>
    <x v="0"/>
    <x v="19"/>
    <x v="3"/>
    <x v="12"/>
    <x v="1"/>
  </r>
  <r>
    <s v="TX502331"/>
    <x v="1"/>
    <x v="20"/>
    <n v="70"/>
    <x v="1727"/>
    <x v="85"/>
    <d v="2025-03-29T00:00:00"/>
    <s v="M"/>
    <x v="0"/>
    <x v="0"/>
    <x v="0"/>
    <x v="20"/>
    <x v="1"/>
    <x v="12"/>
    <x v="1"/>
  </r>
  <r>
    <s v="TX502332"/>
    <x v="4"/>
    <x v="13"/>
    <n v="27.3"/>
    <x v="1728"/>
    <x v="85"/>
    <d v="2025-03-29T00:00:00"/>
    <s v="F"/>
    <x v="1"/>
    <x v="1"/>
    <x v="0"/>
    <x v="2"/>
    <x v="1"/>
    <x v="12"/>
    <x v="2"/>
  </r>
  <r>
    <s v="TX502333"/>
    <x v="8"/>
    <x v="21"/>
    <n v="37.6"/>
    <x v="1729"/>
    <x v="85"/>
    <d v="2025-03-29T00:00:00"/>
    <s v="M"/>
    <x v="1"/>
    <x v="0"/>
    <x v="0"/>
    <x v="3"/>
    <x v="1"/>
    <x v="12"/>
    <x v="1"/>
  </r>
  <r>
    <s v="TX502334"/>
    <x v="5"/>
    <x v="2"/>
    <n v="36.6"/>
    <x v="17"/>
    <x v="85"/>
    <d v="2025-03-29T00:00:00"/>
    <s v="F"/>
    <x v="4"/>
    <x v="0"/>
    <x v="0"/>
    <x v="3"/>
    <x v="1"/>
    <x v="12"/>
    <x v="2"/>
  </r>
  <r>
    <s v="TX502335"/>
    <x v="13"/>
    <x v="0"/>
    <n v="55.2"/>
    <x v="291"/>
    <x v="85"/>
    <d v="2025-03-29T00:00:00"/>
    <s v="M"/>
    <x v="3"/>
    <x v="0"/>
    <x v="0"/>
    <x v="3"/>
    <x v="1"/>
    <x v="12"/>
    <x v="1"/>
  </r>
  <r>
    <s v="TX502336"/>
    <x v="6"/>
    <x v="9"/>
    <n v="59.9"/>
    <x v="1444"/>
    <x v="85"/>
    <d v="2025-03-29T00:00:00"/>
    <s v="M"/>
    <x v="0"/>
    <x v="0"/>
    <x v="0"/>
    <x v="3"/>
    <x v="1"/>
    <x v="12"/>
    <x v="1"/>
  </r>
  <r>
    <s v="TX502337"/>
    <x v="6"/>
    <x v="0"/>
    <n v="44"/>
    <x v="945"/>
    <x v="85"/>
    <d v="2025-03-28T00:00:00"/>
    <s v="F"/>
    <x v="2"/>
    <x v="2"/>
    <x v="0"/>
    <x v="3"/>
    <x v="3"/>
    <x v="12"/>
    <x v="2"/>
  </r>
  <r>
    <s v="TX502338"/>
    <x v="9"/>
    <x v="1"/>
    <n v="68.7"/>
    <x v="1730"/>
    <x v="85"/>
    <d v="2025-03-27T00:00:00"/>
    <s v="M"/>
    <x v="0"/>
    <x v="0"/>
    <x v="0"/>
    <x v="3"/>
    <x v="7"/>
    <x v="12"/>
    <x v="1"/>
  </r>
  <r>
    <s v="TX502339"/>
    <x v="5"/>
    <x v="1"/>
    <n v="61.6"/>
    <x v="1432"/>
    <x v="85"/>
    <d v="2025-03-31T00:00:00"/>
    <s v="M"/>
    <x v="3"/>
    <x v="1"/>
    <x v="0"/>
    <x v="3"/>
    <x v="5"/>
    <x v="12"/>
    <x v="1"/>
  </r>
  <r>
    <s v="TX502340"/>
    <x v="7"/>
    <x v="3"/>
    <n v="51.8"/>
    <x v="1731"/>
    <x v="85"/>
    <d v="2025-03-28T00:00:00"/>
    <s v="M"/>
    <x v="0"/>
    <x v="0"/>
    <x v="0"/>
    <x v="3"/>
    <x v="3"/>
    <x v="12"/>
    <x v="1"/>
  </r>
  <r>
    <s v="TX502341"/>
    <x v="8"/>
    <x v="7"/>
    <n v="46.2"/>
    <x v="1236"/>
    <x v="85"/>
    <d v="2025-03-29T00:00:00"/>
    <s v="M"/>
    <x v="1"/>
    <x v="2"/>
    <x v="0"/>
    <x v="3"/>
    <x v="1"/>
    <x v="12"/>
    <x v="1"/>
  </r>
  <r>
    <s v="TX502342"/>
    <x v="0"/>
    <x v="1"/>
    <n v="19.399999999999999"/>
    <x v="1732"/>
    <x v="85"/>
    <d v="2025-03-29T00:00:00"/>
    <s v="F"/>
    <x v="1"/>
    <x v="2"/>
    <x v="0"/>
    <x v="6"/>
    <x v="1"/>
    <x v="12"/>
    <x v="2"/>
  </r>
  <r>
    <s v="TX502343"/>
    <x v="11"/>
    <x v="2"/>
    <n v="52.1"/>
    <x v="1733"/>
    <x v="85"/>
    <d v="2025-03-30T00:00:00"/>
    <s v="M"/>
    <x v="3"/>
    <x v="3"/>
    <x v="0"/>
    <x v="6"/>
    <x v="2"/>
    <x v="12"/>
    <x v="1"/>
  </r>
  <r>
    <s v="TX502344"/>
    <x v="6"/>
    <x v="0"/>
    <n v="74.900000000000006"/>
    <x v="1734"/>
    <x v="85"/>
    <d v="2025-03-29T00:00:00"/>
    <s v="O"/>
    <x v="0"/>
    <x v="0"/>
    <x v="0"/>
    <x v="7"/>
    <x v="1"/>
    <x v="12"/>
    <x v="3"/>
  </r>
  <r>
    <s v="TX502345"/>
    <x v="9"/>
    <x v="3"/>
    <n v="49.6"/>
    <x v="1735"/>
    <x v="85"/>
    <d v="2025-03-30T00:00:00"/>
    <s v="F"/>
    <x v="4"/>
    <x v="0"/>
    <x v="0"/>
    <x v="8"/>
    <x v="2"/>
    <x v="12"/>
    <x v="2"/>
  </r>
  <r>
    <s v="TX502346"/>
    <x v="16"/>
    <x v="12"/>
    <n v="82.8"/>
    <x v="1736"/>
    <x v="86"/>
    <d v="2025-03-31T00:00:00"/>
    <s v="F"/>
    <x v="4"/>
    <x v="0"/>
    <x v="0"/>
    <x v="8"/>
    <x v="2"/>
    <x v="12"/>
    <x v="2"/>
  </r>
  <r>
    <s v="TX502347"/>
    <x v="2"/>
    <x v="0"/>
    <n v="97.7"/>
    <x v="68"/>
    <x v="86"/>
    <d v="2025-03-29T00:00:00"/>
    <s v="F"/>
    <x v="1"/>
    <x v="0"/>
    <x v="0"/>
    <x v="8"/>
    <x v="3"/>
    <x v="12"/>
    <x v="2"/>
  </r>
  <r>
    <s v="TX502348"/>
    <x v="6"/>
    <x v="9"/>
    <n v="83.6"/>
    <x v="378"/>
    <x v="86"/>
    <d v="2025-03-29T00:00:00"/>
    <s v="F"/>
    <x v="4"/>
    <x v="0"/>
    <x v="0"/>
    <x v="8"/>
    <x v="3"/>
    <x v="12"/>
    <x v="2"/>
  </r>
  <r>
    <s v="TX502349"/>
    <x v="8"/>
    <x v="9"/>
    <n v="23.5"/>
    <x v="1737"/>
    <x v="86"/>
    <d v="2025-04-01T00:00:00"/>
    <s v="O"/>
    <x v="0"/>
    <x v="0"/>
    <x v="0"/>
    <x v="8"/>
    <x v="5"/>
    <x v="12"/>
    <x v="3"/>
  </r>
  <r>
    <s v="TX502350"/>
    <x v="9"/>
    <x v="2"/>
    <n v="44.6"/>
    <x v="981"/>
    <x v="86"/>
    <d v="2025-03-31T00:00:00"/>
    <s v="F"/>
    <x v="4"/>
    <x v="1"/>
    <x v="0"/>
    <x v="26"/>
    <x v="2"/>
    <x v="12"/>
    <x v="2"/>
  </r>
  <r>
    <s v="TX502351"/>
    <x v="0"/>
    <x v="2"/>
    <n v="20.100000000000001"/>
    <x v="1738"/>
    <x v="86"/>
    <d v="2025-03-30T00:00:00"/>
    <s v="F"/>
    <x v="3"/>
    <x v="4"/>
    <x v="0"/>
    <x v="11"/>
    <x v="1"/>
    <x v="12"/>
    <x v="2"/>
  </r>
  <r>
    <s v="TX502352"/>
    <x v="2"/>
    <x v="9"/>
    <n v="153.6"/>
    <x v="1739"/>
    <x v="86"/>
    <d v="2025-03-29T00:00:00"/>
    <s v="F"/>
    <x v="1"/>
    <x v="2"/>
    <x v="0"/>
    <x v="53"/>
    <x v="3"/>
    <x v="12"/>
    <x v="2"/>
  </r>
  <r>
    <s v="TX502353"/>
    <x v="1"/>
    <x v="1"/>
    <n v="71.8"/>
    <x v="897"/>
    <x v="86"/>
    <d v="2025-04-01T00:00:00"/>
    <s v="F"/>
    <x v="1"/>
    <x v="0"/>
    <x v="0"/>
    <x v="1"/>
    <x v="5"/>
    <x v="12"/>
    <x v="2"/>
  </r>
  <r>
    <s v="TX502354"/>
    <x v="10"/>
    <x v="0"/>
    <n v="64.7"/>
    <x v="1740"/>
    <x v="86"/>
    <d v="2025-03-30T00:00:00"/>
    <s v=""/>
    <x v="0"/>
    <x v="1"/>
    <x v="0"/>
    <x v="1"/>
    <x v="1"/>
    <x v="12"/>
    <x v="0"/>
  </r>
  <r>
    <s v="TX502355"/>
    <x v="9"/>
    <x v="8"/>
    <n v="60.4"/>
    <x v="1741"/>
    <x v="86"/>
    <d v="2025-03-30T00:00:00"/>
    <s v="F"/>
    <x v="3"/>
    <x v="2"/>
    <x v="0"/>
    <x v="2"/>
    <x v="1"/>
    <x v="12"/>
    <x v="2"/>
  </r>
  <r>
    <s v="TX502356"/>
    <x v="6"/>
    <x v="12"/>
    <n v="86"/>
    <x v="1213"/>
    <x v="86"/>
    <d v="2025-03-31T00:00:00"/>
    <s v="F"/>
    <x v="2"/>
    <x v="2"/>
    <x v="0"/>
    <x v="22"/>
    <x v="2"/>
    <x v="12"/>
    <x v="2"/>
  </r>
  <r>
    <s v="TX502357"/>
    <x v="12"/>
    <x v="1"/>
    <n v="42.1"/>
    <x v="903"/>
    <x v="86"/>
    <d v="2025-03-29T00:00:00"/>
    <s v="F"/>
    <x v="4"/>
    <x v="1"/>
    <x v="0"/>
    <x v="34"/>
    <x v="3"/>
    <x v="12"/>
    <x v="2"/>
  </r>
  <r>
    <s v="TX502358"/>
    <x v="16"/>
    <x v="11"/>
    <n v="51.1"/>
    <x v="1742"/>
    <x v="86"/>
    <d v="2025-03-29T00:00:00"/>
    <s v="M"/>
    <x v="2"/>
    <x v="1"/>
    <x v="0"/>
    <x v="3"/>
    <x v="3"/>
    <x v="12"/>
    <x v="1"/>
  </r>
  <r>
    <s v="TX502359"/>
    <x v="9"/>
    <x v="12"/>
    <n v="73.8"/>
    <x v="1743"/>
    <x v="86"/>
    <d v="2025-03-29T00:00:00"/>
    <s v="M"/>
    <x v="4"/>
    <x v="0"/>
    <x v="0"/>
    <x v="3"/>
    <x v="3"/>
    <x v="12"/>
    <x v="1"/>
  </r>
  <r>
    <s v="TX502360"/>
    <x v="8"/>
    <x v="9"/>
    <n v="27"/>
    <x v="340"/>
    <x v="86"/>
    <d v="2025-03-31T00:00:00"/>
    <s v="F"/>
    <x v="2"/>
    <x v="2"/>
    <x v="0"/>
    <x v="3"/>
    <x v="2"/>
    <x v="12"/>
    <x v="2"/>
  </r>
  <r>
    <s v="TX502361"/>
    <x v="8"/>
    <x v="13"/>
    <n v="60.1"/>
    <x v="116"/>
    <x v="86"/>
    <d v="2025-03-29T00:00:00"/>
    <s v="M"/>
    <x v="3"/>
    <x v="0"/>
    <x v="0"/>
    <x v="3"/>
    <x v="3"/>
    <x v="12"/>
    <x v="1"/>
  </r>
  <r>
    <s v="TX502362"/>
    <x v="2"/>
    <x v="3"/>
    <n v="94.1"/>
    <x v="1744"/>
    <x v="86"/>
    <d v="2025-03-30T00:00:00"/>
    <s v="F"/>
    <x v="4"/>
    <x v="1"/>
    <x v="0"/>
    <x v="3"/>
    <x v="1"/>
    <x v="12"/>
    <x v="2"/>
  </r>
  <r>
    <s v="TX502363"/>
    <x v="2"/>
    <x v="1"/>
    <n v="124.1"/>
    <x v="1235"/>
    <x v="86"/>
    <d v="2025-03-28T00:00:00"/>
    <s v="F"/>
    <x v="2"/>
    <x v="3"/>
    <x v="0"/>
    <x v="43"/>
    <x v="7"/>
    <x v="12"/>
    <x v="2"/>
  </r>
  <r>
    <s v="TX502364"/>
    <x v="8"/>
    <x v="12"/>
    <n v="16.899999999999999"/>
    <x v="821"/>
    <x v="86"/>
    <d v="2025-03-31T00:00:00"/>
    <s v="M"/>
    <x v="3"/>
    <x v="0"/>
    <x v="0"/>
    <x v="6"/>
    <x v="2"/>
    <x v="12"/>
    <x v="1"/>
  </r>
  <r>
    <s v="TX502365"/>
    <x v="1"/>
    <x v="0"/>
    <n v="36.9"/>
    <x v="1745"/>
    <x v="86"/>
    <d v="2025-03-29T00:00:00"/>
    <s v="M"/>
    <x v="0"/>
    <x v="0"/>
    <x v="0"/>
    <x v="6"/>
    <x v="3"/>
    <x v="12"/>
    <x v="1"/>
  </r>
  <r>
    <s v="TX502366"/>
    <x v="9"/>
    <x v="1"/>
    <n v="22.6"/>
    <x v="705"/>
    <x v="86"/>
    <d v="2025-04-10T00:00:00"/>
    <s v="F"/>
    <x v="2"/>
    <x v="1"/>
    <x v="0"/>
    <x v="8"/>
    <x v="10"/>
    <x v="12"/>
    <x v="2"/>
  </r>
  <r>
    <s v="TX502367"/>
    <x v="7"/>
    <x v="12"/>
    <n v="35"/>
    <x v="1683"/>
    <x v="86"/>
    <d v="2025-04-02T00:00:00"/>
    <s v="M"/>
    <x v="3"/>
    <x v="1"/>
    <x v="0"/>
    <x v="8"/>
    <x v="0"/>
    <x v="12"/>
    <x v="1"/>
  </r>
  <r>
    <s v="TX502368"/>
    <x v="9"/>
    <x v="13"/>
    <n v="63.6"/>
    <x v="1746"/>
    <x v="86"/>
    <d v="2025-04-04T00:00:00"/>
    <s v=""/>
    <x v="1"/>
    <x v="2"/>
    <x v="0"/>
    <x v="8"/>
    <x v="6"/>
    <x v="12"/>
    <x v="0"/>
  </r>
  <r>
    <s v="TX502369"/>
    <x v="15"/>
    <x v="12"/>
    <n v="78.599999999999994"/>
    <x v="1747"/>
    <x v="86"/>
    <d v="2025-03-29T00:00:00"/>
    <s v="M"/>
    <x v="4"/>
    <x v="1"/>
    <x v="0"/>
    <x v="8"/>
    <x v="3"/>
    <x v="12"/>
    <x v="1"/>
  </r>
  <r>
    <s v="TX502370"/>
    <x v="3"/>
    <x v="1"/>
    <n v="38.5"/>
    <x v="445"/>
    <x v="86"/>
    <d v="2025-03-29T00:00:00"/>
    <s v="M"/>
    <x v="0"/>
    <x v="2"/>
    <x v="0"/>
    <x v="8"/>
    <x v="3"/>
    <x v="12"/>
    <x v="1"/>
  </r>
  <r>
    <s v="TX502371"/>
    <x v="8"/>
    <x v="5"/>
    <n v="71.5"/>
    <x v="1748"/>
    <x v="86"/>
    <d v="2025-03-29T00:00:00"/>
    <s v="F"/>
    <x v="1"/>
    <x v="4"/>
    <x v="0"/>
    <x v="8"/>
    <x v="3"/>
    <x v="12"/>
    <x v="2"/>
  </r>
  <r>
    <s v="TX502372"/>
    <x v="6"/>
    <x v="12"/>
    <n v="121.4"/>
    <x v="1749"/>
    <x v="86"/>
    <d v="2025-04-01T00:00:00"/>
    <s v="M"/>
    <x v="1"/>
    <x v="2"/>
    <x v="0"/>
    <x v="17"/>
    <x v="5"/>
    <x v="12"/>
    <x v="1"/>
  </r>
  <r>
    <s v="TX502373"/>
    <x v="11"/>
    <x v="0"/>
    <n v="40.200000000000003"/>
    <x v="282"/>
    <x v="86"/>
    <d v="2025-03-31T00:00:00"/>
    <s v="F"/>
    <x v="0"/>
    <x v="2"/>
    <x v="0"/>
    <x v="11"/>
    <x v="2"/>
    <x v="12"/>
    <x v="2"/>
  </r>
  <r>
    <s v="TX502374"/>
    <x v="5"/>
    <x v="9"/>
    <n v="31.9"/>
    <x v="1750"/>
    <x v="86"/>
    <d v="2025-03-30T00:00:00"/>
    <s v="F"/>
    <x v="2"/>
    <x v="2"/>
    <x v="0"/>
    <x v="28"/>
    <x v="1"/>
    <x v="12"/>
    <x v="2"/>
  </r>
  <r>
    <s v="TX502375"/>
    <x v="14"/>
    <x v="9"/>
    <n v="15.8"/>
    <x v="1751"/>
    <x v="87"/>
    <d v="2025-03-30T00:00:00"/>
    <s v="M"/>
    <x v="3"/>
    <x v="2"/>
    <x v="0"/>
    <x v="21"/>
    <x v="3"/>
    <x v="12"/>
    <x v="1"/>
  </r>
  <r>
    <s v="TX502376"/>
    <x v="10"/>
    <x v="1"/>
    <n v="25.1"/>
    <x v="486"/>
    <x v="87"/>
    <d v="2025-03-31T00:00:00"/>
    <s v=""/>
    <x v="1"/>
    <x v="0"/>
    <x v="0"/>
    <x v="21"/>
    <x v="1"/>
    <x v="12"/>
    <x v="0"/>
  </r>
  <r>
    <s v="TX502377"/>
    <x v="1"/>
    <x v="44"/>
    <n v="38.1"/>
    <x v="1752"/>
    <x v="87"/>
    <d v="2025-03-30T00:00:00"/>
    <s v="F"/>
    <x v="4"/>
    <x v="0"/>
    <x v="0"/>
    <x v="1"/>
    <x v="3"/>
    <x v="12"/>
    <x v="2"/>
  </r>
  <r>
    <s v="TX502378"/>
    <x v="3"/>
    <x v="1"/>
    <n v="42.2"/>
    <x v="533"/>
    <x v="87"/>
    <d v="2025-03-31T00:00:00"/>
    <s v="F"/>
    <x v="0"/>
    <x v="2"/>
    <x v="0"/>
    <x v="1"/>
    <x v="1"/>
    <x v="12"/>
    <x v="2"/>
  </r>
  <r>
    <s v="TX502379"/>
    <x v="0"/>
    <x v="7"/>
    <n v="12.3"/>
    <x v="1287"/>
    <x v="87"/>
    <d v="2025-03-30T00:00:00"/>
    <s v="F"/>
    <x v="4"/>
    <x v="0"/>
    <x v="0"/>
    <x v="2"/>
    <x v="3"/>
    <x v="12"/>
    <x v="2"/>
  </r>
  <r>
    <s v="TX502380"/>
    <x v="7"/>
    <x v="0"/>
    <n v="30.2"/>
    <x v="242"/>
    <x v="87"/>
    <d v="2025-03-31T00:00:00"/>
    <s v="F"/>
    <x v="1"/>
    <x v="2"/>
    <x v="0"/>
    <x v="34"/>
    <x v="1"/>
    <x v="12"/>
    <x v="2"/>
  </r>
  <r>
    <s v="TX502381"/>
    <x v="5"/>
    <x v="2"/>
    <n v="25.3"/>
    <x v="1554"/>
    <x v="87"/>
    <d v="2025-04-01T00:00:00"/>
    <s v="F"/>
    <x v="2"/>
    <x v="0"/>
    <x v="0"/>
    <x v="3"/>
    <x v="2"/>
    <x v="12"/>
    <x v="2"/>
  </r>
  <r>
    <s v="TX502382"/>
    <x v="8"/>
    <x v="9"/>
    <n v="29.7"/>
    <x v="1753"/>
    <x v="87"/>
    <d v="2025-03-31T00:00:00"/>
    <s v="M"/>
    <x v="3"/>
    <x v="0"/>
    <x v="0"/>
    <x v="3"/>
    <x v="1"/>
    <x v="12"/>
    <x v="1"/>
  </r>
  <r>
    <s v="TX502383"/>
    <x v="9"/>
    <x v="8"/>
    <n v="32.9"/>
    <x v="1754"/>
    <x v="87"/>
    <d v="2025-03-30T00:00:00"/>
    <s v=""/>
    <x v="3"/>
    <x v="2"/>
    <x v="0"/>
    <x v="3"/>
    <x v="3"/>
    <x v="12"/>
    <x v="0"/>
  </r>
  <r>
    <s v="TX502384"/>
    <x v="10"/>
    <x v="1"/>
    <n v="43.6"/>
    <x v="640"/>
    <x v="87"/>
    <d v="2025-03-30T00:00:00"/>
    <s v="M"/>
    <x v="1"/>
    <x v="2"/>
    <x v="0"/>
    <x v="3"/>
    <x v="3"/>
    <x v="12"/>
    <x v="1"/>
  </r>
  <r>
    <s v="TX502385"/>
    <x v="15"/>
    <x v="12"/>
    <n v="78.400000000000006"/>
    <x v="1755"/>
    <x v="87"/>
    <d v="2025-03-30T00:00:00"/>
    <s v="M"/>
    <x v="2"/>
    <x v="0"/>
    <x v="0"/>
    <x v="3"/>
    <x v="3"/>
    <x v="12"/>
    <x v="1"/>
  </r>
  <r>
    <s v="TX502386"/>
    <x v="6"/>
    <x v="1"/>
    <n v="56.5"/>
    <x v="548"/>
    <x v="87"/>
    <d v="2025-04-02T00:00:00"/>
    <s v="M"/>
    <x v="1"/>
    <x v="1"/>
    <x v="0"/>
    <x v="3"/>
    <x v="5"/>
    <x v="12"/>
    <x v="1"/>
  </r>
  <r>
    <s v="TX502387"/>
    <x v="16"/>
    <x v="0"/>
    <n v="36.700000000000003"/>
    <x v="329"/>
    <x v="87"/>
    <d v="2025-03-30T00:00:00"/>
    <s v="F"/>
    <x v="0"/>
    <x v="2"/>
    <x v="0"/>
    <x v="3"/>
    <x v="3"/>
    <x v="12"/>
    <x v="2"/>
  </r>
  <r>
    <s v="TX502388"/>
    <x v="2"/>
    <x v="12"/>
    <n v="103.6"/>
    <x v="1756"/>
    <x v="87"/>
    <d v="2025-04-09T00:00:00"/>
    <s v="M"/>
    <x v="4"/>
    <x v="2"/>
    <x v="0"/>
    <x v="3"/>
    <x v="11"/>
    <x v="12"/>
    <x v="1"/>
  </r>
  <r>
    <s v="TX502389"/>
    <x v="8"/>
    <x v="13"/>
    <n v="16.2"/>
    <x v="1757"/>
    <x v="87"/>
    <d v="2025-04-02T00:00:00"/>
    <s v="M"/>
    <x v="1"/>
    <x v="2"/>
    <x v="0"/>
    <x v="6"/>
    <x v="5"/>
    <x v="12"/>
    <x v="1"/>
  </r>
  <r>
    <s v="TX502390"/>
    <x v="8"/>
    <x v="1"/>
    <n v="20.2"/>
    <x v="1400"/>
    <x v="87"/>
    <d v="2025-03-30T00:00:00"/>
    <s v="F"/>
    <x v="0"/>
    <x v="0"/>
    <x v="0"/>
    <x v="6"/>
    <x v="3"/>
    <x v="12"/>
    <x v="2"/>
  </r>
  <r>
    <s v="TX502391"/>
    <x v="11"/>
    <x v="1"/>
    <n v="26.9"/>
    <x v="1758"/>
    <x v="87"/>
    <d v="2025-03-31T00:00:00"/>
    <s v="F"/>
    <x v="2"/>
    <x v="0"/>
    <x v="0"/>
    <x v="6"/>
    <x v="1"/>
    <x v="12"/>
    <x v="2"/>
  </r>
  <r>
    <s v="TX502392"/>
    <x v="1"/>
    <x v="1"/>
    <n v="82.4"/>
    <x v="1759"/>
    <x v="87"/>
    <d v="2025-04-01T00:00:00"/>
    <s v=""/>
    <x v="0"/>
    <x v="0"/>
    <x v="0"/>
    <x v="7"/>
    <x v="2"/>
    <x v="12"/>
    <x v="0"/>
  </r>
  <r>
    <s v="TX502393"/>
    <x v="2"/>
    <x v="1"/>
    <n v="117.8"/>
    <x v="1760"/>
    <x v="87"/>
    <d v="2025-03-31T00:00:00"/>
    <s v="M"/>
    <x v="1"/>
    <x v="2"/>
    <x v="0"/>
    <x v="8"/>
    <x v="1"/>
    <x v="12"/>
    <x v="1"/>
  </r>
  <r>
    <s v="TX502394"/>
    <x v="11"/>
    <x v="12"/>
    <n v="36.700000000000003"/>
    <x v="1761"/>
    <x v="87"/>
    <d v="2025-03-30T00:00:00"/>
    <s v="M"/>
    <x v="1"/>
    <x v="0"/>
    <x v="0"/>
    <x v="8"/>
    <x v="3"/>
    <x v="12"/>
    <x v="1"/>
  </r>
  <r>
    <s v="TX502395"/>
    <x v="17"/>
    <x v="2"/>
    <n v="46.8"/>
    <x v="1762"/>
    <x v="87"/>
    <d v="2025-03-30T00:00:00"/>
    <s v="M"/>
    <x v="4"/>
    <x v="2"/>
    <x v="0"/>
    <x v="10"/>
    <x v="3"/>
    <x v="12"/>
    <x v="1"/>
  </r>
  <r>
    <s v="TX502396"/>
    <x v="3"/>
    <x v="0"/>
    <n v="61.4"/>
    <x v="886"/>
    <x v="87"/>
    <d v="2025-03-30T00:00:00"/>
    <s v="M"/>
    <x v="1"/>
    <x v="0"/>
    <x v="0"/>
    <x v="10"/>
    <x v="3"/>
    <x v="12"/>
    <x v="1"/>
  </r>
  <r>
    <s v="TX502397"/>
    <x v="15"/>
    <x v="1"/>
    <n v="22.9"/>
    <x v="494"/>
    <x v="87"/>
    <d v="2025-03-30T00:00:00"/>
    <s v="M"/>
    <x v="0"/>
    <x v="0"/>
    <x v="0"/>
    <x v="11"/>
    <x v="3"/>
    <x v="12"/>
    <x v="1"/>
  </r>
  <r>
    <s v="TX502398"/>
    <x v="10"/>
    <x v="1"/>
    <n v="22.1"/>
    <x v="573"/>
    <x v="87"/>
    <d v="2025-03-30T00:00:00"/>
    <s v="F"/>
    <x v="4"/>
    <x v="0"/>
    <x v="0"/>
    <x v="11"/>
    <x v="3"/>
    <x v="12"/>
    <x v="2"/>
  </r>
  <r>
    <s v="TX502399"/>
    <x v="12"/>
    <x v="1"/>
    <n v="31"/>
    <x v="85"/>
    <x v="87"/>
    <d v="2025-03-31T00:00:00"/>
    <s v="F"/>
    <x v="2"/>
    <x v="0"/>
    <x v="0"/>
    <x v="18"/>
    <x v="1"/>
    <x v="12"/>
    <x v="2"/>
  </r>
  <r>
    <s v="TX502400"/>
    <x v="18"/>
    <x v="1"/>
    <n v="84.2"/>
    <x v="1763"/>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2F900-4F1A-491A-8FA8-280EEA07C71A}" name="PvtCT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8">
  <location ref="A169:G174" firstHeaderRow="1" firstDataRow="2"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67" format="10" series="1">
      <pivotArea type="data" outline="0" fieldPosition="0">
        <references count="2">
          <reference field="4294967294" count="1" selected="0">
            <x v="0"/>
          </reference>
          <reference field="9" count="1" selected="0">
            <x v="0"/>
          </reference>
        </references>
      </pivotArea>
    </chartFormat>
    <chartFormat chart="67" format="11" series="1">
      <pivotArea type="data" outline="0" fieldPosition="0">
        <references count="2">
          <reference field="4294967294" count="1" selected="0">
            <x v="0"/>
          </reference>
          <reference field="9" count="1" selected="0">
            <x v="1"/>
          </reference>
        </references>
      </pivotArea>
    </chartFormat>
    <chartFormat chart="67" format="12" series="1">
      <pivotArea type="data" outline="0" fieldPosition="0">
        <references count="2">
          <reference field="4294967294" count="1" selected="0">
            <x v="0"/>
          </reference>
          <reference field="9" count="1" selected="0">
            <x v="2"/>
          </reference>
        </references>
      </pivotArea>
    </chartFormat>
    <chartFormat chart="67" format="13" series="1">
      <pivotArea type="data" outline="0" fieldPosition="0">
        <references count="2">
          <reference field="4294967294" count="1" selected="0">
            <x v="0"/>
          </reference>
          <reference field="9" count="1" selected="0">
            <x v="3"/>
          </reference>
        </references>
      </pivotArea>
    </chartFormat>
    <chartFormat chart="6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EFAE0-28D8-430E-AD09-403540629B94}" name="PvtCustom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157:E164" firstHeaderRow="1" firstDataRow="2"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Row"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Fields count="1">
    <field x="16"/>
  </colFields>
  <colItems count="4">
    <i>
      <x v="1"/>
    </i>
    <i>
      <x v="2"/>
    </i>
    <i>
      <x v="3"/>
    </i>
    <i t="grand">
      <x/>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253D84-3F59-4EC9-B4F2-3FADEFB42ACF}" name="PvtSumm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0B6D54-6DDF-41D8-A2CB-0E40E713F4E9}" name="PvtDur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136:B152" firstHeaderRow="1" firstDataRow="1"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47"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A352BC-9643-4586-AA6E-D51DEC03E33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6">
  <location ref="I46:J51"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9">
    <chartFormat chart="40" format="8" series="1">
      <pivotArea type="data" outline="0" fieldPosition="0">
        <references count="2">
          <reference field="4294967294" count="1" selected="0">
            <x v="0"/>
          </reference>
          <reference field="14" count="1" selected="0">
            <x v="0"/>
          </reference>
        </references>
      </pivotArea>
    </chartFormat>
    <chartFormat chart="40" format="9" series="1">
      <pivotArea type="data" outline="0" fieldPosition="0">
        <references count="2">
          <reference field="4294967294" count="1" selected="0">
            <x v="0"/>
          </reference>
          <reference field="14" count="1" selected="0">
            <x v="1"/>
          </reference>
        </references>
      </pivotArea>
    </chartFormat>
    <chartFormat chart="40" format="10" series="1">
      <pivotArea type="data" outline="0" fieldPosition="0">
        <references count="2">
          <reference field="4294967294" count="1" selected="0">
            <x v="0"/>
          </reference>
          <reference field="14" count="1" selected="0">
            <x v="2"/>
          </reference>
        </references>
      </pivotArea>
    </chartFormat>
    <chartFormat chart="40" format="11" series="1">
      <pivotArea type="data" outline="0" fieldPosition="0">
        <references count="2">
          <reference field="4294967294" count="1" selected="0">
            <x v="0"/>
          </reference>
          <reference field="14" count="1" selected="0">
            <x v="3"/>
          </reference>
        </references>
      </pivotArea>
    </chartFormat>
    <chartFormat chart="45" format="10" series="1">
      <pivotArea type="data" outline="0" fieldPosition="0">
        <references count="1">
          <reference field="4294967294" count="1" selected="0">
            <x v="0"/>
          </reference>
        </references>
      </pivotArea>
    </chartFormat>
    <chartFormat chart="45" format="11">
      <pivotArea type="data" outline="0" fieldPosition="0">
        <references count="2">
          <reference field="4294967294" count="1" selected="0">
            <x v="0"/>
          </reference>
          <reference field="14" count="1" selected="0">
            <x v="0"/>
          </reference>
        </references>
      </pivotArea>
    </chartFormat>
    <chartFormat chart="45" format="12">
      <pivotArea type="data" outline="0" fieldPosition="0">
        <references count="2">
          <reference field="4294967294" count="1" selected="0">
            <x v="0"/>
          </reference>
          <reference field="14" count="1" selected="0">
            <x v="1"/>
          </reference>
        </references>
      </pivotArea>
    </chartFormat>
    <chartFormat chart="45" format="13">
      <pivotArea type="data" outline="0" fieldPosition="0">
        <references count="2">
          <reference field="4294967294" count="1" selected="0">
            <x v="0"/>
          </reference>
          <reference field="14" count="1" selected="0">
            <x v="2"/>
          </reference>
        </references>
      </pivotArea>
    </chartFormat>
    <chartFormat chart="4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649C27-8051-4EF3-A3CB-38473EE41DED}" name="PvtProdu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location ref="A46:F68"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0" format="8" series="1">
      <pivotArea type="data" outline="0" fieldPosition="0">
        <references count="2">
          <reference field="4294967294" count="1" selected="0">
            <x v="0"/>
          </reference>
          <reference field="14" count="1" selected="0">
            <x v="0"/>
          </reference>
        </references>
      </pivotArea>
    </chartFormat>
    <chartFormat chart="40" format="9" series="1">
      <pivotArea type="data" outline="0" fieldPosition="0">
        <references count="2">
          <reference field="4294967294" count="1" selected="0">
            <x v="0"/>
          </reference>
          <reference field="14" count="1" selected="0">
            <x v="1"/>
          </reference>
        </references>
      </pivotArea>
    </chartFormat>
    <chartFormat chart="40" format="10" series="1">
      <pivotArea type="data" outline="0" fieldPosition="0">
        <references count="2">
          <reference field="4294967294" count="1" selected="0">
            <x v="0"/>
          </reference>
          <reference field="14" count="1" selected="0">
            <x v="2"/>
          </reference>
        </references>
      </pivotArea>
    </chartFormat>
    <chartFormat chart="4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49318-505E-4EA5-98B4-433254A3D58E}" name="Pvt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3:B4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9FDC83-8820-4FE0-9EAE-4655DF040E3A}" name="PvtTrend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4:C28"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AFD839-BDAD-45E8-B42C-A9D2659F8214}" name="PvtGeographical"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46">
  <location ref="A73:D131"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764">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s>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E7E513-5BAF-46D0-B984-991D1C7C757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75BA8C8-A942-42A6-9EFE-8B6B213EBBF1}" sourceName="Order Mode">
  <pivotTables>
    <pivotTable tabId="5" name="PvtCTA"/>
    <pivotTable tabId="5" name="PivotTable7"/>
    <pivotTable tabId="5" name="PvtCustomer"/>
    <pivotTable tabId="5" name="PvtGeographical"/>
    <pivotTable tabId="5" name="PvtOrders"/>
    <pivotTable tabId="5" name="PvtProducts"/>
    <pivotTable tabId="5" name="PvtDuration"/>
    <pivotTable tabId="5" name="PvtSummary"/>
    <pivotTable tabId="5" name="PvtTrends"/>
    <pivotTable tabId="7" name="PivotTable3"/>
  </pivotTables>
  <data>
    <tabular pivotCacheId="48700850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3748C1F-F00D-4A6D-A923-847725C07C6F}" sourceName="Gender Value">
  <pivotTables>
    <pivotTable tabId="5" name="PvtGeographical"/>
    <pivotTable tabId="5" name="PvtTrends"/>
    <pivotTable tabId="5" name="PvtDuration"/>
    <pivotTable tabId="5" name="PvtOrders"/>
    <pivotTable tabId="5" name="PvtCustomer"/>
  </pivotTables>
  <data>
    <tabular pivotCacheId="48700850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5B9A3269-D386-4901-B64D-40C7929D95A4}" cache="Slicer_Order_Mode" caption="Order Mode" style="SlicerStyleLight6" rowHeight="241300"/>
  <slicer name="Gender Value 1" xr10:uid="{AC44D399-C290-4340-8A7B-5E3CE7006311}" cache="Slicer_Gender_Value" caption="Gender Valu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
    <tableColumn id="7" xr3:uid="{43BB5DBF-46E1-4185-80C0-4361F55A385C}" name="Ship Date" dataDxfId="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
      <calculatedColumnFormula>orders[[#This Row],[Ship Date]]-orders[[#This Row],[Order Date]]</calculatedColumnFormula>
    </tableColumn>
    <tableColumn id="12" xr3:uid="{B071C0DA-87A9-4516-B4D9-4F5B7D3FF44A}" name="Weeknum" dataDxfId="2">
      <calculatedColumnFormula>WEEKNUM(orders[[#This Row],[Order Date]])</calculatedColumnFormula>
    </tableColumn>
    <tableColumn id="13" xr3:uid="{B8EA9E28-7541-4E76-9935-C26438661A18}" name="Gender Value" dataDxfId="1">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2AC70-AF4D-4968-B52D-9648E370FD22}">
  <dimension ref="A3:L174"/>
  <sheetViews>
    <sheetView topLeftCell="A74" zoomScaleNormal="100" workbookViewId="0">
      <selection activeCell="J65" sqref="J65"/>
    </sheetView>
  </sheetViews>
  <sheetFormatPr defaultRowHeight="14.25"/>
  <cols>
    <col min="1" max="1" width="14" bestFit="1" customWidth="1"/>
    <col min="2" max="2" width="16.125" bestFit="1" customWidth="1"/>
    <col min="3" max="4" width="4.25" bestFit="1" customWidth="1"/>
    <col min="5" max="7" width="11.375" bestFit="1" customWidth="1"/>
    <col min="8" max="8" width="6.625" bestFit="1" customWidth="1"/>
    <col min="9" max="9" width="13.125" bestFit="1" customWidth="1"/>
    <col min="10" max="10" width="15" bestFit="1" customWidth="1"/>
    <col min="11" max="33" width="6.625" bestFit="1" customWidth="1"/>
    <col min="34" max="34" width="9" bestFit="1" customWidth="1"/>
    <col min="35" max="62" width="6.875" bestFit="1" customWidth="1"/>
    <col min="63" max="63" width="9.25" bestFit="1" customWidth="1"/>
    <col min="64" max="92" width="6.875" bestFit="1" customWidth="1"/>
    <col min="93" max="93" width="9.25" bestFit="1" customWidth="1"/>
    <col min="94" max="94" width="11.375" bestFit="1" customWidth="1"/>
  </cols>
  <sheetData>
    <row r="3" spans="1:5">
      <c r="A3" t="s">
        <v>2519</v>
      </c>
      <c r="B3" t="s">
        <v>2520</v>
      </c>
      <c r="C3" t="s">
        <v>2521</v>
      </c>
      <c r="D3" t="s">
        <v>2522</v>
      </c>
      <c r="E3" t="s">
        <v>2523</v>
      </c>
    </row>
    <row r="4" spans="1:5">
      <c r="A4" s="5">
        <v>2400</v>
      </c>
      <c r="B4" s="5">
        <v>11997</v>
      </c>
      <c r="C4" s="5">
        <v>649019.80000000144</v>
      </c>
      <c r="D4" s="5">
        <v>3.9620833333333332</v>
      </c>
      <c r="E4" s="5">
        <v>2.3424999999999998</v>
      </c>
    </row>
    <row r="7" spans="1:5">
      <c r="A7" t="s">
        <v>2524</v>
      </c>
    </row>
    <row r="8" spans="1:5">
      <c r="A8" t="s">
        <v>2518</v>
      </c>
      <c r="B8" t="s">
        <v>2525</v>
      </c>
      <c r="C8" t="s">
        <v>4</v>
      </c>
      <c r="D8" t="s">
        <v>2526</v>
      </c>
      <c r="E8" t="s">
        <v>2527</v>
      </c>
    </row>
    <row r="9" spans="1:5">
      <c r="A9" t="str">
        <f>TEXT(A4,"#,##")</f>
        <v>2,400</v>
      </c>
      <c r="B9" t="str">
        <f t="shared" ref="B9" si="0">TEXT(B4,"#,##")</f>
        <v>11,997</v>
      </c>
      <c r="C9" t="str">
        <f>TEXT(C4,"$#,##,.0K")</f>
        <v>$649.0K</v>
      </c>
      <c r="D9" t="str">
        <f>TEXT(D4,"0.0")</f>
        <v>4.0</v>
      </c>
      <c r="E9" t="str">
        <f>TEXT(E4,"0.0")</f>
        <v>2.3</v>
      </c>
    </row>
    <row r="12" spans="1:5">
      <c r="A12" s="6" t="s">
        <v>2528</v>
      </c>
    </row>
    <row r="14" spans="1:5">
      <c r="A14" s="7" t="s">
        <v>2529</v>
      </c>
      <c r="B14" t="s">
        <v>2520</v>
      </c>
      <c r="C14" t="s">
        <v>2521</v>
      </c>
    </row>
    <row r="15" spans="1:5">
      <c r="A15" s="8">
        <v>1</v>
      </c>
      <c r="B15" s="5">
        <v>546</v>
      </c>
      <c r="C15" s="9">
        <v>32413.300000000003</v>
      </c>
    </row>
    <row r="16" spans="1:5">
      <c r="A16" s="8">
        <v>2</v>
      </c>
      <c r="B16" s="5">
        <v>905</v>
      </c>
      <c r="C16" s="9">
        <v>49562.999999999993</v>
      </c>
    </row>
    <row r="17" spans="1:3">
      <c r="A17" s="8">
        <v>3</v>
      </c>
      <c r="B17" s="5">
        <v>796</v>
      </c>
      <c r="C17" s="9">
        <v>41700.400000000016</v>
      </c>
    </row>
    <row r="18" spans="1:3">
      <c r="A18" s="8">
        <v>4</v>
      </c>
      <c r="B18" s="5">
        <v>913</v>
      </c>
      <c r="C18" s="9">
        <v>46782.599999999984</v>
      </c>
    </row>
    <row r="19" spans="1:3">
      <c r="A19" s="8">
        <v>5</v>
      </c>
      <c r="B19" s="5">
        <v>844</v>
      </c>
      <c r="C19" s="9">
        <v>42676.100000000006</v>
      </c>
    </row>
    <row r="20" spans="1:3">
      <c r="A20" s="8">
        <v>6</v>
      </c>
      <c r="B20" s="5">
        <v>1202</v>
      </c>
      <c r="C20" s="9">
        <v>62910.7</v>
      </c>
    </row>
    <row r="21" spans="1:3">
      <c r="A21" s="8">
        <v>7</v>
      </c>
      <c r="B21" s="5">
        <v>935</v>
      </c>
      <c r="C21" s="9">
        <v>50332.200000000004</v>
      </c>
    </row>
    <row r="22" spans="1:3">
      <c r="A22" s="8">
        <v>8</v>
      </c>
      <c r="B22" s="5">
        <v>1128</v>
      </c>
      <c r="C22" s="9">
        <v>58760.599999999977</v>
      </c>
    </row>
    <row r="23" spans="1:3">
      <c r="A23" s="8">
        <v>9</v>
      </c>
      <c r="B23" s="5">
        <v>1007</v>
      </c>
      <c r="C23" s="9">
        <v>52017.299999999996</v>
      </c>
    </row>
    <row r="24" spans="1:3">
      <c r="A24" s="8">
        <v>10</v>
      </c>
      <c r="B24" s="5">
        <v>1128</v>
      </c>
      <c r="C24" s="9">
        <v>64915.700000000033</v>
      </c>
    </row>
    <row r="25" spans="1:3">
      <c r="A25" s="8">
        <v>11</v>
      </c>
      <c r="B25" s="5">
        <v>861</v>
      </c>
      <c r="C25" s="9">
        <v>45943.80000000001</v>
      </c>
    </row>
    <row r="26" spans="1:3">
      <c r="A26" s="8">
        <v>12</v>
      </c>
      <c r="B26" s="5">
        <v>944</v>
      </c>
      <c r="C26" s="9">
        <v>55077.900000000031</v>
      </c>
    </row>
    <row r="27" spans="1:3">
      <c r="A27" s="8">
        <v>13</v>
      </c>
      <c r="B27" s="5">
        <v>788</v>
      </c>
      <c r="C27" s="9">
        <v>45926.19999999999</v>
      </c>
    </row>
    <row r="28" spans="1:3">
      <c r="A28" s="8" t="s">
        <v>2530</v>
      </c>
      <c r="B28" s="5">
        <v>11997</v>
      </c>
      <c r="C28" s="9">
        <v>649019.79999999993</v>
      </c>
    </row>
    <row r="31" spans="1:3">
      <c r="A31" t="s">
        <v>2537</v>
      </c>
    </row>
    <row r="33" spans="1:10">
      <c r="A33" s="7" t="s">
        <v>2529</v>
      </c>
      <c r="B33" t="s">
        <v>2519</v>
      </c>
    </row>
    <row r="34" spans="1:10">
      <c r="A34" s="8">
        <v>1</v>
      </c>
      <c r="B34" s="5">
        <v>397</v>
      </c>
    </row>
    <row r="35" spans="1:10">
      <c r="A35" s="8">
        <v>2</v>
      </c>
      <c r="B35" s="5">
        <v>540</v>
      </c>
    </row>
    <row r="36" spans="1:10">
      <c r="A36" s="8">
        <v>3</v>
      </c>
      <c r="B36" s="5">
        <v>375</v>
      </c>
    </row>
    <row r="37" spans="1:10">
      <c r="A37" s="8">
        <v>4</v>
      </c>
      <c r="B37" s="5">
        <v>246</v>
      </c>
    </row>
    <row r="38" spans="1:10">
      <c r="A38" s="8">
        <v>5</v>
      </c>
      <c r="B38" s="5">
        <v>195</v>
      </c>
    </row>
    <row r="39" spans="1:10">
      <c r="A39" s="8" t="s">
        <v>2538</v>
      </c>
      <c r="B39" s="5">
        <v>414</v>
      </c>
    </row>
    <row r="40" spans="1:10">
      <c r="A40" s="8" t="s">
        <v>2539</v>
      </c>
      <c r="B40" s="5">
        <v>233</v>
      </c>
    </row>
    <row r="41" spans="1:10">
      <c r="A41" s="8" t="s">
        <v>2530</v>
      </c>
      <c r="B41" s="5">
        <v>2400</v>
      </c>
    </row>
    <row r="44" spans="1:10">
      <c r="A44" s="8" t="s">
        <v>2540</v>
      </c>
    </row>
    <row r="46" spans="1:10">
      <c r="A46" s="7" t="s">
        <v>2520</v>
      </c>
      <c r="B46" s="7" t="s">
        <v>2531</v>
      </c>
      <c r="I46" s="7" t="s">
        <v>2529</v>
      </c>
      <c r="J46" t="s">
        <v>2520</v>
      </c>
    </row>
    <row r="47" spans="1:10">
      <c r="A47" s="7" t="s">
        <v>2529</v>
      </c>
      <c r="B47" t="s">
        <v>2532</v>
      </c>
      <c r="C47" t="s">
        <v>2533</v>
      </c>
      <c r="D47" t="s">
        <v>2534</v>
      </c>
      <c r="E47" t="s">
        <v>2535</v>
      </c>
      <c r="F47" t="s">
        <v>2530</v>
      </c>
      <c r="I47" s="8" t="s">
        <v>2532</v>
      </c>
      <c r="J47" s="5">
        <v>6272</v>
      </c>
    </row>
    <row r="48" spans="1:10">
      <c r="A48" s="8" t="s">
        <v>44</v>
      </c>
      <c r="B48" s="5">
        <v>744</v>
      </c>
      <c r="C48" s="5">
        <v>713</v>
      </c>
      <c r="D48" s="5">
        <v>90</v>
      </c>
      <c r="E48" s="5">
        <v>98</v>
      </c>
      <c r="F48" s="5">
        <v>1645</v>
      </c>
      <c r="I48" s="8" t="s">
        <v>2533</v>
      </c>
      <c r="J48" s="5">
        <v>4672</v>
      </c>
    </row>
    <row r="49" spans="1:10">
      <c r="A49" s="8" t="s">
        <v>39</v>
      </c>
      <c r="B49" s="5">
        <v>716</v>
      </c>
      <c r="C49" s="5">
        <v>598</v>
      </c>
      <c r="D49" s="5">
        <v>18</v>
      </c>
      <c r="E49" s="5">
        <v>214</v>
      </c>
      <c r="F49" s="5">
        <v>1546</v>
      </c>
      <c r="I49" s="8" t="s">
        <v>2534</v>
      </c>
      <c r="J49" s="5">
        <v>317</v>
      </c>
    </row>
    <row r="50" spans="1:10">
      <c r="A50" s="8" t="s">
        <v>26</v>
      </c>
      <c r="B50" s="5">
        <v>627</v>
      </c>
      <c r="C50" s="5">
        <v>393</v>
      </c>
      <c r="D50" s="5">
        <v>29</v>
      </c>
      <c r="E50" s="5">
        <v>137</v>
      </c>
      <c r="F50" s="5">
        <v>1186</v>
      </c>
      <c r="I50" s="8" t="s">
        <v>2535</v>
      </c>
      <c r="J50" s="5">
        <v>736</v>
      </c>
    </row>
    <row r="51" spans="1:10">
      <c r="A51" s="8" t="s">
        <v>22</v>
      </c>
      <c r="B51" s="5">
        <v>568</v>
      </c>
      <c r="C51" s="5">
        <v>306</v>
      </c>
      <c r="D51" s="5">
        <v>22</v>
      </c>
      <c r="E51" s="5">
        <v>16</v>
      </c>
      <c r="F51" s="5">
        <v>912</v>
      </c>
      <c r="I51" s="8" t="s">
        <v>2530</v>
      </c>
      <c r="J51" s="5">
        <v>11997</v>
      </c>
    </row>
    <row r="52" spans="1:10">
      <c r="A52" s="8" t="s">
        <v>54</v>
      </c>
      <c r="B52" s="5">
        <v>482</v>
      </c>
      <c r="C52" s="5">
        <v>295</v>
      </c>
      <c r="D52" s="5">
        <v>8</v>
      </c>
      <c r="E52" s="5">
        <v>22</v>
      </c>
      <c r="F52" s="5">
        <v>807</v>
      </c>
    </row>
    <row r="53" spans="1:10">
      <c r="A53" s="8" t="s">
        <v>16</v>
      </c>
      <c r="B53" s="5">
        <v>428</v>
      </c>
      <c r="C53" s="5">
        <v>293</v>
      </c>
      <c r="D53" s="5"/>
      <c r="E53" s="5">
        <v>24</v>
      </c>
      <c r="F53" s="5">
        <v>745</v>
      </c>
    </row>
    <row r="54" spans="1:10">
      <c r="A54" s="8" t="s">
        <v>46</v>
      </c>
      <c r="B54" s="5">
        <v>445</v>
      </c>
      <c r="C54" s="5">
        <v>202</v>
      </c>
      <c r="D54" s="5">
        <v>14</v>
      </c>
      <c r="E54" s="5">
        <v>39</v>
      </c>
      <c r="F54" s="5">
        <v>700</v>
      </c>
    </row>
    <row r="55" spans="1:10">
      <c r="A55" s="8" t="s">
        <v>32</v>
      </c>
      <c r="B55" s="5">
        <v>431</v>
      </c>
      <c r="C55" s="5">
        <v>187</v>
      </c>
      <c r="D55" s="5">
        <v>14</v>
      </c>
      <c r="E55" s="5">
        <v>15</v>
      </c>
      <c r="F55" s="5">
        <v>647</v>
      </c>
    </row>
    <row r="56" spans="1:10">
      <c r="A56" s="8" t="s">
        <v>42</v>
      </c>
      <c r="B56" s="5">
        <v>264</v>
      </c>
      <c r="C56" s="5">
        <v>318</v>
      </c>
      <c r="D56" s="5">
        <v>15</v>
      </c>
      <c r="E56" s="5">
        <v>9</v>
      </c>
      <c r="F56" s="5">
        <v>606</v>
      </c>
    </row>
    <row r="57" spans="1:10">
      <c r="A57" s="8" t="s">
        <v>37</v>
      </c>
      <c r="B57" s="5">
        <v>296</v>
      </c>
      <c r="C57" s="5">
        <v>275</v>
      </c>
      <c r="D57" s="5">
        <v>9</v>
      </c>
      <c r="E57" s="5">
        <v>23</v>
      </c>
      <c r="F57" s="5">
        <v>603</v>
      </c>
    </row>
    <row r="58" spans="1:10">
      <c r="A58" s="8" t="s">
        <v>123</v>
      </c>
      <c r="B58" s="5">
        <v>153</v>
      </c>
      <c r="C58" s="5">
        <v>246</v>
      </c>
      <c r="D58" s="5">
        <v>30</v>
      </c>
      <c r="E58" s="5">
        <v>8</v>
      </c>
      <c r="F58" s="5">
        <v>437</v>
      </c>
    </row>
    <row r="59" spans="1:10">
      <c r="A59" s="8" t="s">
        <v>146</v>
      </c>
      <c r="B59" s="5">
        <v>189</v>
      </c>
      <c r="C59" s="5">
        <v>168</v>
      </c>
      <c r="D59" s="5">
        <v>10</v>
      </c>
      <c r="E59" s="5">
        <v>31</v>
      </c>
      <c r="F59" s="5">
        <v>398</v>
      </c>
    </row>
    <row r="60" spans="1:10">
      <c r="A60" s="8" t="s">
        <v>69</v>
      </c>
      <c r="B60" s="5">
        <v>234</v>
      </c>
      <c r="C60" s="5">
        <v>93</v>
      </c>
      <c r="D60" s="5">
        <v>19</v>
      </c>
      <c r="E60" s="5">
        <v>24</v>
      </c>
      <c r="F60" s="5">
        <v>370</v>
      </c>
    </row>
    <row r="61" spans="1:10">
      <c r="A61" s="8" t="s">
        <v>30</v>
      </c>
      <c r="B61" s="5">
        <v>146</v>
      </c>
      <c r="C61" s="5">
        <v>94</v>
      </c>
      <c r="D61" s="5">
        <v>4</v>
      </c>
      <c r="E61" s="5">
        <v>28</v>
      </c>
      <c r="F61" s="5">
        <v>272</v>
      </c>
    </row>
    <row r="62" spans="1:10">
      <c r="A62" s="8" t="s">
        <v>135</v>
      </c>
      <c r="B62" s="5">
        <v>127</v>
      </c>
      <c r="C62" s="5">
        <v>118</v>
      </c>
      <c r="D62" s="5">
        <v>13</v>
      </c>
      <c r="E62" s="5">
        <v>12</v>
      </c>
      <c r="F62" s="5">
        <v>270</v>
      </c>
    </row>
    <row r="63" spans="1:10">
      <c r="A63" s="8" t="s">
        <v>67</v>
      </c>
      <c r="B63" s="5">
        <v>179</v>
      </c>
      <c r="C63" s="5">
        <v>76</v>
      </c>
      <c r="D63" s="5">
        <v>3</v>
      </c>
      <c r="E63" s="5"/>
      <c r="F63" s="5">
        <v>258</v>
      </c>
    </row>
    <row r="64" spans="1:10">
      <c r="A64" s="8" t="s">
        <v>128</v>
      </c>
      <c r="B64" s="5">
        <v>99</v>
      </c>
      <c r="C64" s="5">
        <v>69</v>
      </c>
      <c r="D64" s="5">
        <v>3</v>
      </c>
      <c r="E64" s="5">
        <v>24</v>
      </c>
      <c r="F64" s="5">
        <v>195</v>
      </c>
    </row>
    <row r="65" spans="1:12">
      <c r="A65" s="8" t="s">
        <v>76</v>
      </c>
      <c r="B65" s="5">
        <v>75</v>
      </c>
      <c r="C65" s="5">
        <v>103</v>
      </c>
      <c r="D65" s="5">
        <v>4</v>
      </c>
      <c r="E65" s="5">
        <v>6</v>
      </c>
      <c r="F65" s="5">
        <v>188</v>
      </c>
    </row>
    <row r="66" spans="1:12">
      <c r="A66" s="8" t="s">
        <v>81</v>
      </c>
      <c r="B66" s="5">
        <v>43</v>
      </c>
      <c r="C66" s="5">
        <v>90</v>
      </c>
      <c r="D66" s="5">
        <v>8</v>
      </c>
      <c r="E66" s="5">
        <v>6</v>
      </c>
      <c r="F66" s="5">
        <v>147</v>
      </c>
    </row>
    <row r="67" spans="1:12">
      <c r="A67" s="8" t="s">
        <v>171</v>
      </c>
      <c r="B67" s="5">
        <v>26</v>
      </c>
      <c r="C67" s="5">
        <v>35</v>
      </c>
      <c r="D67" s="5">
        <v>4</v>
      </c>
      <c r="E67" s="5"/>
      <c r="F67" s="5">
        <v>65</v>
      </c>
    </row>
    <row r="68" spans="1:12">
      <c r="A68" s="8" t="s">
        <v>2530</v>
      </c>
      <c r="B68" s="5">
        <v>6272</v>
      </c>
      <c r="C68" s="5">
        <v>4672</v>
      </c>
      <c r="D68" s="5">
        <v>317</v>
      </c>
      <c r="E68" s="5">
        <v>736</v>
      </c>
      <c r="F68" s="5">
        <v>11997</v>
      </c>
    </row>
    <row r="71" spans="1:12">
      <c r="A71" s="8" t="s">
        <v>2541</v>
      </c>
    </row>
    <row r="72" spans="1:12">
      <c r="F72" t="s">
        <v>2542</v>
      </c>
      <c r="J72" t="s">
        <v>2543</v>
      </c>
    </row>
    <row r="73" spans="1:12">
      <c r="A73" s="7" t="s">
        <v>10</v>
      </c>
      <c r="B73" s="7" t="s">
        <v>11</v>
      </c>
      <c r="C73" t="s">
        <v>2520</v>
      </c>
      <c r="D73" t="s">
        <v>2521</v>
      </c>
      <c r="F73" t="s">
        <v>10</v>
      </c>
      <c r="G73" t="s">
        <v>11</v>
      </c>
      <c r="H73" t="s">
        <v>2525</v>
      </c>
      <c r="J73" t="s">
        <v>10</v>
      </c>
      <c r="K73" t="s">
        <v>11</v>
      </c>
      <c r="L73" t="s">
        <v>4</v>
      </c>
    </row>
    <row r="74" spans="1:12">
      <c r="A74" t="s">
        <v>19</v>
      </c>
      <c r="B74" t="s">
        <v>115</v>
      </c>
      <c r="C74" s="5">
        <v>579</v>
      </c>
      <c r="D74" s="5">
        <v>31884.999999999996</v>
      </c>
      <c r="F74" t="str">
        <f>IF(A74="","",A74)</f>
        <v>California</v>
      </c>
      <c r="G74" t="str">
        <f>IF(B74="","",B74)</f>
        <v>Alameda County</v>
      </c>
      <c r="H74">
        <f>IF(C74="","",C74)</f>
        <v>579</v>
      </c>
      <c r="J74" t="str">
        <f>IF(A74="","",A74)</f>
        <v>California</v>
      </c>
      <c r="K74" t="str">
        <f>IF(B74="","",B74)</f>
        <v>Alameda County</v>
      </c>
      <c r="L74">
        <f>IF(D74="","",D74)</f>
        <v>31884.999999999996</v>
      </c>
    </row>
    <row r="75" spans="1:12">
      <c r="A75" t="s">
        <v>19</v>
      </c>
      <c r="B75" t="s">
        <v>20</v>
      </c>
      <c r="C75" s="5">
        <v>1</v>
      </c>
      <c r="D75" s="5">
        <v>10.9</v>
      </c>
      <c r="F75" t="str">
        <f t="shared" ref="F75:F115" si="1">IF(A75="","",A75)</f>
        <v>California</v>
      </c>
      <c r="G75" t="str">
        <f t="shared" ref="G75:G131" si="2">IF(B75="","",B75)</f>
        <v>Alpine County</v>
      </c>
      <c r="H75">
        <f t="shared" ref="H75:H131" si="3">IF(C75="","",C75)</f>
        <v>1</v>
      </c>
      <c r="J75" t="str">
        <f t="shared" ref="J75:J131" si="4">IF(A75="","",A75)</f>
        <v>California</v>
      </c>
      <c r="K75" t="str">
        <f t="shared" ref="K75:K131" si="5">IF(B75="","",B75)</f>
        <v>Alpine County</v>
      </c>
      <c r="L75">
        <f t="shared" ref="L75:L131" si="6">IF(D75="","",D75)</f>
        <v>10.9</v>
      </c>
    </row>
    <row r="76" spans="1:12">
      <c r="A76" t="s">
        <v>19</v>
      </c>
      <c r="B76" t="s">
        <v>641</v>
      </c>
      <c r="C76" s="5">
        <v>9</v>
      </c>
      <c r="D76" s="5">
        <v>800.3</v>
      </c>
      <c r="F76" t="str">
        <f t="shared" si="1"/>
        <v>California</v>
      </c>
      <c r="G76" t="str">
        <f t="shared" si="2"/>
        <v>Amador County</v>
      </c>
      <c r="H76">
        <f t="shared" si="3"/>
        <v>9</v>
      </c>
      <c r="J76" t="str">
        <f t="shared" si="4"/>
        <v>California</v>
      </c>
      <c r="K76" t="str">
        <f t="shared" si="5"/>
        <v>Amador County</v>
      </c>
      <c r="L76">
        <f t="shared" si="6"/>
        <v>800.3</v>
      </c>
    </row>
    <row r="77" spans="1:12">
      <c r="A77" t="s">
        <v>19</v>
      </c>
      <c r="B77" t="s">
        <v>967</v>
      </c>
      <c r="C77" s="5">
        <v>35</v>
      </c>
      <c r="D77" s="5">
        <v>1062.5999999999999</v>
      </c>
      <c r="F77" t="str">
        <f t="shared" si="1"/>
        <v>California</v>
      </c>
      <c r="G77" t="str">
        <f t="shared" si="2"/>
        <v>Butte County</v>
      </c>
      <c r="H77">
        <f t="shared" si="3"/>
        <v>35</v>
      </c>
      <c r="J77" t="str">
        <f t="shared" si="4"/>
        <v>California</v>
      </c>
      <c r="K77" t="str">
        <f t="shared" si="5"/>
        <v>Butte County</v>
      </c>
      <c r="L77">
        <f t="shared" si="6"/>
        <v>1062.5999999999999</v>
      </c>
    </row>
    <row r="78" spans="1:12">
      <c r="A78" t="s">
        <v>19</v>
      </c>
      <c r="B78" t="s">
        <v>84</v>
      </c>
      <c r="C78" s="5">
        <v>12</v>
      </c>
      <c r="D78" s="5">
        <v>326.20000000000005</v>
      </c>
      <c r="F78" t="str">
        <f t="shared" si="1"/>
        <v>California</v>
      </c>
      <c r="G78" t="str">
        <f t="shared" si="2"/>
        <v>Calaveras County</v>
      </c>
      <c r="H78">
        <f t="shared" si="3"/>
        <v>12</v>
      </c>
      <c r="J78" t="str">
        <f t="shared" si="4"/>
        <v>California</v>
      </c>
      <c r="K78" t="str">
        <f t="shared" si="5"/>
        <v>Calaveras County</v>
      </c>
      <c r="L78">
        <f t="shared" si="6"/>
        <v>326.20000000000005</v>
      </c>
    </row>
    <row r="79" spans="1:12">
      <c r="A79" t="s">
        <v>19</v>
      </c>
      <c r="B79" t="s">
        <v>1383</v>
      </c>
      <c r="C79" s="5">
        <v>4</v>
      </c>
      <c r="D79" s="5">
        <v>167.5</v>
      </c>
      <c r="F79" t="str">
        <f t="shared" si="1"/>
        <v>California</v>
      </c>
      <c r="G79" t="str">
        <f t="shared" si="2"/>
        <v>Colusa County</v>
      </c>
      <c r="H79">
        <f t="shared" si="3"/>
        <v>4</v>
      </c>
      <c r="J79" t="str">
        <f t="shared" si="4"/>
        <v>California</v>
      </c>
      <c r="K79" t="str">
        <f t="shared" si="5"/>
        <v>Colusa County</v>
      </c>
      <c r="L79">
        <f t="shared" si="6"/>
        <v>167.5</v>
      </c>
    </row>
    <row r="80" spans="1:12">
      <c r="A80" t="s">
        <v>19</v>
      </c>
      <c r="B80" t="s">
        <v>24</v>
      </c>
      <c r="C80" s="5">
        <v>341</v>
      </c>
      <c r="D80" s="5">
        <v>16168.7</v>
      </c>
      <c r="F80" t="str">
        <f t="shared" si="1"/>
        <v>California</v>
      </c>
      <c r="G80" t="str">
        <f t="shared" si="2"/>
        <v>Contra Costa County</v>
      </c>
      <c r="H80">
        <f t="shared" si="3"/>
        <v>341</v>
      </c>
      <c r="J80" t="str">
        <f t="shared" si="4"/>
        <v>California</v>
      </c>
      <c r="K80" t="str">
        <f t="shared" si="5"/>
        <v>Contra Costa County</v>
      </c>
      <c r="L80">
        <f t="shared" si="6"/>
        <v>16168.7</v>
      </c>
    </row>
    <row r="81" spans="1:12">
      <c r="A81" t="s">
        <v>19</v>
      </c>
      <c r="B81" t="s">
        <v>2204</v>
      </c>
      <c r="C81" s="5">
        <v>13</v>
      </c>
      <c r="D81" s="5">
        <v>322.40000000000003</v>
      </c>
      <c r="F81" t="str">
        <f t="shared" si="1"/>
        <v>California</v>
      </c>
      <c r="G81" t="str">
        <f t="shared" si="2"/>
        <v>Del Norte County</v>
      </c>
      <c r="H81">
        <f t="shared" si="3"/>
        <v>13</v>
      </c>
      <c r="J81" t="str">
        <f t="shared" si="4"/>
        <v>California</v>
      </c>
      <c r="K81" t="str">
        <f t="shared" si="5"/>
        <v>Del Norte County</v>
      </c>
      <c r="L81">
        <f t="shared" si="6"/>
        <v>322.40000000000003</v>
      </c>
    </row>
    <row r="82" spans="1:12">
      <c r="A82" t="s">
        <v>19</v>
      </c>
      <c r="B82" t="s">
        <v>437</v>
      </c>
      <c r="C82" s="5">
        <v>31</v>
      </c>
      <c r="D82" s="5">
        <v>2092.8000000000002</v>
      </c>
      <c r="F82" t="str">
        <f t="shared" si="1"/>
        <v>California</v>
      </c>
      <c r="G82" t="str">
        <f t="shared" si="2"/>
        <v>El Dorado County</v>
      </c>
      <c r="H82">
        <f t="shared" si="3"/>
        <v>31</v>
      </c>
      <c r="J82" t="str">
        <f t="shared" si="4"/>
        <v>California</v>
      </c>
      <c r="K82" t="str">
        <f t="shared" si="5"/>
        <v>El Dorado County</v>
      </c>
      <c r="L82">
        <f t="shared" si="6"/>
        <v>2092.8000000000002</v>
      </c>
    </row>
    <row r="83" spans="1:12">
      <c r="A83" t="s">
        <v>19</v>
      </c>
      <c r="B83" t="s">
        <v>28</v>
      </c>
      <c r="C83" s="5">
        <v>279</v>
      </c>
      <c r="D83" s="5">
        <v>12662.500000000002</v>
      </c>
      <c r="F83" t="str">
        <f t="shared" si="1"/>
        <v>California</v>
      </c>
      <c r="G83" t="str">
        <f t="shared" si="2"/>
        <v>Fresno County</v>
      </c>
      <c r="H83">
        <f t="shared" si="3"/>
        <v>279</v>
      </c>
      <c r="J83" t="str">
        <f t="shared" si="4"/>
        <v>California</v>
      </c>
      <c r="K83" t="str">
        <f t="shared" si="5"/>
        <v>Fresno County</v>
      </c>
      <c r="L83">
        <f t="shared" si="6"/>
        <v>12662.500000000002</v>
      </c>
    </row>
    <row r="84" spans="1:12">
      <c r="A84" t="s">
        <v>19</v>
      </c>
      <c r="B84" t="s">
        <v>208</v>
      </c>
      <c r="C84" s="5">
        <v>9</v>
      </c>
      <c r="D84" s="5">
        <v>343.2</v>
      </c>
      <c r="F84" t="str">
        <f t="shared" si="1"/>
        <v>California</v>
      </c>
      <c r="G84" t="str">
        <f t="shared" si="2"/>
        <v>Glenn County</v>
      </c>
      <c r="H84">
        <f t="shared" si="3"/>
        <v>9</v>
      </c>
      <c r="J84" t="str">
        <f t="shared" si="4"/>
        <v>California</v>
      </c>
      <c r="K84" t="str">
        <f t="shared" si="5"/>
        <v>Glenn County</v>
      </c>
      <c r="L84">
        <f t="shared" si="6"/>
        <v>343.2</v>
      </c>
    </row>
    <row r="85" spans="1:12">
      <c r="A85" t="s">
        <v>19</v>
      </c>
      <c r="B85" t="s">
        <v>587</v>
      </c>
      <c r="C85" s="5">
        <v>49</v>
      </c>
      <c r="D85" s="5">
        <v>2188.2999999999997</v>
      </c>
      <c r="F85" t="str">
        <f t="shared" si="1"/>
        <v>California</v>
      </c>
      <c r="G85" t="str">
        <f t="shared" si="2"/>
        <v>Humboldt County</v>
      </c>
      <c r="H85">
        <f t="shared" si="3"/>
        <v>49</v>
      </c>
      <c r="J85" t="str">
        <f t="shared" si="4"/>
        <v>California</v>
      </c>
      <c r="K85" t="str">
        <f t="shared" si="5"/>
        <v>Humboldt County</v>
      </c>
      <c r="L85">
        <f t="shared" si="6"/>
        <v>2188.2999999999997</v>
      </c>
    </row>
    <row r="86" spans="1:12">
      <c r="A86" t="s">
        <v>19</v>
      </c>
      <c r="B86" t="s">
        <v>331</v>
      </c>
      <c r="C86" s="5">
        <v>59</v>
      </c>
      <c r="D86" s="5">
        <v>2661.5999999999995</v>
      </c>
      <c r="F86" t="str">
        <f t="shared" si="1"/>
        <v>California</v>
      </c>
      <c r="G86" t="str">
        <f t="shared" si="2"/>
        <v>Imperial County</v>
      </c>
      <c r="H86">
        <f t="shared" si="3"/>
        <v>59</v>
      </c>
      <c r="J86" t="str">
        <f t="shared" si="4"/>
        <v>California</v>
      </c>
      <c r="K86" t="str">
        <f t="shared" si="5"/>
        <v>Imperial County</v>
      </c>
      <c r="L86">
        <f t="shared" si="6"/>
        <v>2661.5999999999995</v>
      </c>
    </row>
    <row r="87" spans="1:12">
      <c r="A87" t="s">
        <v>19</v>
      </c>
      <c r="B87" t="s">
        <v>86</v>
      </c>
      <c r="C87" s="5">
        <v>8</v>
      </c>
      <c r="D87" s="5">
        <v>887.5</v>
      </c>
      <c r="F87" t="str">
        <f t="shared" si="1"/>
        <v>California</v>
      </c>
      <c r="G87" t="str">
        <f t="shared" si="2"/>
        <v>Inyo County</v>
      </c>
      <c r="H87">
        <f t="shared" si="3"/>
        <v>8</v>
      </c>
      <c r="J87" t="str">
        <f t="shared" si="4"/>
        <v>California</v>
      </c>
      <c r="K87" t="str">
        <f t="shared" si="5"/>
        <v>Inyo County</v>
      </c>
      <c r="L87">
        <f t="shared" si="6"/>
        <v>887.5</v>
      </c>
    </row>
    <row r="88" spans="1:12">
      <c r="A88" t="s">
        <v>19</v>
      </c>
      <c r="B88" t="s">
        <v>147</v>
      </c>
      <c r="C88" s="5">
        <v>222</v>
      </c>
      <c r="D88" s="5">
        <v>11354.199999999993</v>
      </c>
      <c r="F88" t="str">
        <f t="shared" si="1"/>
        <v>California</v>
      </c>
      <c r="G88" t="str">
        <f t="shared" si="2"/>
        <v>Kern County</v>
      </c>
      <c r="H88">
        <f t="shared" si="3"/>
        <v>222</v>
      </c>
      <c r="J88" t="str">
        <f t="shared" si="4"/>
        <v>California</v>
      </c>
      <c r="K88" t="str">
        <f t="shared" si="5"/>
        <v>Kern County</v>
      </c>
      <c r="L88">
        <f t="shared" si="6"/>
        <v>11354.199999999993</v>
      </c>
    </row>
    <row r="89" spans="1:12">
      <c r="A89" t="s">
        <v>19</v>
      </c>
      <c r="B89" t="s">
        <v>334</v>
      </c>
      <c r="C89" s="5">
        <v>36</v>
      </c>
      <c r="D89" s="5">
        <v>1558.4</v>
      </c>
      <c r="F89" t="str">
        <f t="shared" si="1"/>
        <v>California</v>
      </c>
      <c r="G89" t="str">
        <f t="shared" si="2"/>
        <v>Kings County</v>
      </c>
      <c r="H89">
        <f t="shared" si="3"/>
        <v>36</v>
      </c>
      <c r="J89" t="str">
        <f t="shared" si="4"/>
        <v>California</v>
      </c>
      <c r="K89" t="str">
        <f t="shared" si="5"/>
        <v>Kings County</v>
      </c>
      <c r="L89">
        <f t="shared" si="6"/>
        <v>1558.4</v>
      </c>
    </row>
    <row r="90" spans="1:12">
      <c r="A90" t="s">
        <v>19</v>
      </c>
      <c r="B90" t="s">
        <v>949</v>
      </c>
      <c r="C90" s="5">
        <v>30</v>
      </c>
      <c r="D90" s="5">
        <v>2223.9</v>
      </c>
      <c r="F90" t="str">
        <f t="shared" si="1"/>
        <v>California</v>
      </c>
      <c r="G90" t="str">
        <f t="shared" si="2"/>
        <v>Lake County</v>
      </c>
      <c r="H90">
        <f t="shared" si="3"/>
        <v>30</v>
      </c>
      <c r="J90" t="str">
        <f t="shared" si="4"/>
        <v>California</v>
      </c>
      <c r="K90" t="str">
        <f t="shared" si="5"/>
        <v>Lake County</v>
      </c>
      <c r="L90">
        <f t="shared" si="6"/>
        <v>2223.9</v>
      </c>
    </row>
    <row r="91" spans="1:12">
      <c r="A91" t="s">
        <v>19</v>
      </c>
      <c r="B91" t="s">
        <v>1426</v>
      </c>
      <c r="C91" s="5">
        <v>1</v>
      </c>
      <c r="D91" s="5">
        <v>26.2</v>
      </c>
      <c r="F91" t="str">
        <f t="shared" si="1"/>
        <v>California</v>
      </c>
      <c r="G91" t="str">
        <f t="shared" si="2"/>
        <v>Lassen County</v>
      </c>
      <c r="H91">
        <f t="shared" si="3"/>
        <v>1</v>
      </c>
      <c r="J91" t="str">
        <f t="shared" si="4"/>
        <v>California</v>
      </c>
      <c r="K91" t="str">
        <f t="shared" si="5"/>
        <v>Lassen County</v>
      </c>
      <c r="L91">
        <f t="shared" si="6"/>
        <v>26.2</v>
      </c>
    </row>
    <row r="92" spans="1:12">
      <c r="A92" t="s">
        <v>19</v>
      </c>
      <c r="B92" t="s">
        <v>33</v>
      </c>
      <c r="C92" s="5">
        <v>3991</v>
      </c>
      <c r="D92" s="5">
        <v>215551.19999999981</v>
      </c>
      <c r="F92" t="str">
        <f t="shared" si="1"/>
        <v>California</v>
      </c>
      <c r="G92" t="str">
        <f t="shared" si="2"/>
        <v>Los Angeles County</v>
      </c>
      <c r="H92">
        <f t="shared" si="3"/>
        <v>3991</v>
      </c>
      <c r="J92" t="str">
        <f t="shared" si="4"/>
        <v>California</v>
      </c>
      <c r="K92" t="str">
        <f t="shared" si="5"/>
        <v>Los Angeles County</v>
      </c>
      <c r="L92">
        <f t="shared" si="6"/>
        <v>215551.19999999981</v>
      </c>
    </row>
    <row r="93" spans="1:12">
      <c r="A93" t="s">
        <v>19</v>
      </c>
      <c r="B93" t="s">
        <v>364</v>
      </c>
      <c r="C93" s="5">
        <v>45</v>
      </c>
      <c r="D93" s="5">
        <v>2687.3999999999996</v>
      </c>
      <c r="F93" t="str">
        <f t="shared" si="1"/>
        <v>California</v>
      </c>
      <c r="G93" t="str">
        <f t="shared" si="2"/>
        <v>Madera County</v>
      </c>
      <c r="H93">
        <f t="shared" si="3"/>
        <v>45</v>
      </c>
      <c r="J93" t="str">
        <f t="shared" si="4"/>
        <v>California</v>
      </c>
      <c r="K93" t="str">
        <f t="shared" si="5"/>
        <v>Madera County</v>
      </c>
      <c r="L93">
        <f t="shared" si="6"/>
        <v>2687.3999999999996</v>
      </c>
    </row>
    <row r="94" spans="1:12">
      <c r="A94" t="s">
        <v>19</v>
      </c>
      <c r="B94" t="s">
        <v>545</v>
      </c>
      <c r="C94" s="5">
        <v>39</v>
      </c>
      <c r="D94" s="5">
        <v>1463.3000000000002</v>
      </c>
      <c r="F94" t="str">
        <f t="shared" si="1"/>
        <v>California</v>
      </c>
      <c r="G94" t="str">
        <f t="shared" si="2"/>
        <v>Marin County</v>
      </c>
      <c r="H94">
        <f t="shared" si="3"/>
        <v>39</v>
      </c>
      <c r="J94" t="str">
        <f t="shared" si="4"/>
        <v>California</v>
      </c>
      <c r="K94" t="str">
        <f t="shared" si="5"/>
        <v>Marin County</v>
      </c>
      <c r="L94">
        <f t="shared" si="6"/>
        <v>1463.3000000000002</v>
      </c>
    </row>
    <row r="95" spans="1:12">
      <c r="A95" t="s">
        <v>19</v>
      </c>
      <c r="B95" t="s">
        <v>416</v>
      </c>
      <c r="C95" s="5">
        <v>6</v>
      </c>
      <c r="D95" s="5">
        <v>445.79999999999995</v>
      </c>
      <c r="F95" t="str">
        <f t="shared" si="1"/>
        <v>California</v>
      </c>
      <c r="G95" t="str">
        <f t="shared" si="2"/>
        <v>Mariposa County</v>
      </c>
      <c r="H95">
        <f t="shared" si="3"/>
        <v>6</v>
      </c>
      <c r="J95" t="str">
        <f t="shared" si="4"/>
        <v>California</v>
      </c>
      <c r="K95" t="str">
        <f t="shared" si="5"/>
        <v>Mariposa County</v>
      </c>
      <c r="L95">
        <f t="shared" si="6"/>
        <v>445.79999999999995</v>
      </c>
    </row>
    <row r="96" spans="1:12">
      <c r="A96" t="s">
        <v>19</v>
      </c>
      <c r="B96" t="s">
        <v>258</v>
      </c>
      <c r="C96" s="5">
        <v>9</v>
      </c>
      <c r="D96" s="5">
        <v>273.59999999999997</v>
      </c>
      <c r="F96" t="str">
        <f t="shared" si="1"/>
        <v>California</v>
      </c>
      <c r="G96" t="str">
        <f t="shared" si="2"/>
        <v>Mendocino County</v>
      </c>
      <c r="H96">
        <f t="shared" si="3"/>
        <v>9</v>
      </c>
      <c r="J96" t="str">
        <f t="shared" si="4"/>
        <v>California</v>
      </c>
      <c r="K96" t="str">
        <f t="shared" si="5"/>
        <v>Mendocino County</v>
      </c>
      <c r="L96">
        <f t="shared" si="6"/>
        <v>273.59999999999997</v>
      </c>
    </row>
    <row r="97" spans="1:12">
      <c r="A97" t="s">
        <v>19</v>
      </c>
      <c r="B97" t="s">
        <v>186</v>
      </c>
      <c r="C97" s="5">
        <v>60</v>
      </c>
      <c r="D97" s="5">
        <v>2690.4</v>
      </c>
      <c r="F97" t="str">
        <f t="shared" si="1"/>
        <v>California</v>
      </c>
      <c r="G97" t="str">
        <f t="shared" si="2"/>
        <v>Merced County</v>
      </c>
      <c r="H97">
        <f t="shared" si="3"/>
        <v>60</v>
      </c>
      <c r="J97" t="str">
        <f t="shared" si="4"/>
        <v>California</v>
      </c>
      <c r="K97" t="str">
        <f t="shared" si="5"/>
        <v>Merced County</v>
      </c>
      <c r="L97">
        <f t="shared" si="6"/>
        <v>2690.4</v>
      </c>
    </row>
    <row r="98" spans="1:12">
      <c r="A98" t="s">
        <v>19</v>
      </c>
      <c r="B98" t="s">
        <v>392</v>
      </c>
      <c r="C98" s="5">
        <v>2</v>
      </c>
      <c r="D98" s="5">
        <v>28.4</v>
      </c>
      <c r="F98" t="str">
        <f t="shared" si="1"/>
        <v>California</v>
      </c>
      <c r="G98" t="str">
        <f t="shared" si="2"/>
        <v>Modoc County</v>
      </c>
      <c r="H98">
        <f t="shared" si="3"/>
        <v>2</v>
      </c>
      <c r="J98" t="str">
        <f t="shared" si="4"/>
        <v>California</v>
      </c>
      <c r="K98" t="str">
        <f t="shared" si="5"/>
        <v>Modoc County</v>
      </c>
      <c r="L98">
        <f t="shared" si="6"/>
        <v>28.4</v>
      </c>
    </row>
    <row r="99" spans="1:12">
      <c r="A99" t="s">
        <v>19</v>
      </c>
      <c r="B99" t="s">
        <v>670</v>
      </c>
      <c r="C99" s="5">
        <v>4</v>
      </c>
      <c r="D99" s="5">
        <v>204.8</v>
      </c>
      <c r="F99" t="str">
        <f t="shared" si="1"/>
        <v>California</v>
      </c>
      <c r="G99" t="str">
        <f t="shared" si="2"/>
        <v>Mono County</v>
      </c>
      <c r="H99">
        <f t="shared" si="3"/>
        <v>4</v>
      </c>
      <c r="J99" t="str">
        <f t="shared" si="4"/>
        <v>California</v>
      </c>
      <c r="K99" t="str">
        <f t="shared" si="5"/>
        <v>Mono County</v>
      </c>
      <c r="L99">
        <f t="shared" si="6"/>
        <v>204.8</v>
      </c>
    </row>
    <row r="100" spans="1:12">
      <c r="A100" t="s">
        <v>19</v>
      </c>
      <c r="B100" t="s">
        <v>802</v>
      </c>
      <c r="C100" s="5">
        <v>31</v>
      </c>
      <c r="D100" s="5">
        <v>1607.8999999999999</v>
      </c>
      <c r="F100" t="str">
        <f t="shared" si="1"/>
        <v>California</v>
      </c>
      <c r="G100" t="str">
        <f t="shared" si="2"/>
        <v>Monterey County</v>
      </c>
      <c r="H100">
        <f t="shared" si="3"/>
        <v>31</v>
      </c>
      <c r="J100" t="str">
        <f t="shared" si="4"/>
        <v>California</v>
      </c>
      <c r="K100" t="str">
        <f t="shared" si="5"/>
        <v>Monterey County</v>
      </c>
      <c r="L100">
        <f t="shared" si="6"/>
        <v>1607.8999999999999</v>
      </c>
    </row>
    <row r="101" spans="1:12">
      <c r="A101" t="s">
        <v>19</v>
      </c>
      <c r="B101" t="s">
        <v>98</v>
      </c>
      <c r="C101" s="5">
        <v>88</v>
      </c>
      <c r="D101" s="5">
        <v>6444.9</v>
      </c>
      <c r="F101" t="str">
        <f t="shared" si="1"/>
        <v>California</v>
      </c>
      <c r="G101" t="str">
        <f t="shared" si="2"/>
        <v>Napa County</v>
      </c>
      <c r="H101">
        <f t="shared" si="3"/>
        <v>88</v>
      </c>
      <c r="J101" t="str">
        <f t="shared" si="4"/>
        <v>California</v>
      </c>
      <c r="K101" t="str">
        <f t="shared" si="5"/>
        <v>Napa County</v>
      </c>
      <c r="L101">
        <f t="shared" si="6"/>
        <v>6444.9</v>
      </c>
    </row>
    <row r="102" spans="1:12">
      <c r="A102" t="s">
        <v>19</v>
      </c>
      <c r="B102" t="s">
        <v>49</v>
      </c>
      <c r="C102" s="5">
        <v>25</v>
      </c>
      <c r="D102" s="5">
        <v>1809.3</v>
      </c>
      <c r="F102" t="str">
        <f t="shared" si="1"/>
        <v>California</v>
      </c>
      <c r="G102" t="str">
        <f t="shared" si="2"/>
        <v>Nevada County</v>
      </c>
      <c r="H102">
        <f t="shared" si="3"/>
        <v>25</v>
      </c>
      <c r="J102" t="str">
        <f t="shared" si="4"/>
        <v>California</v>
      </c>
      <c r="K102" t="str">
        <f t="shared" si="5"/>
        <v>Nevada County</v>
      </c>
      <c r="L102">
        <f t="shared" si="6"/>
        <v>1809.3</v>
      </c>
    </row>
    <row r="103" spans="1:12">
      <c r="A103" t="s">
        <v>19</v>
      </c>
      <c r="B103" t="s">
        <v>188</v>
      </c>
      <c r="C103" s="5">
        <v>178</v>
      </c>
      <c r="D103" s="5">
        <v>9680.399999999996</v>
      </c>
      <c r="F103" t="str">
        <f t="shared" si="1"/>
        <v>California</v>
      </c>
      <c r="G103" t="str">
        <f t="shared" si="2"/>
        <v>Orange County</v>
      </c>
      <c r="H103">
        <f t="shared" si="3"/>
        <v>178</v>
      </c>
      <c r="J103" t="str">
        <f t="shared" si="4"/>
        <v>California</v>
      </c>
      <c r="K103" t="str">
        <f t="shared" si="5"/>
        <v>Orange County</v>
      </c>
      <c r="L103">
        <f t="shared" si="6"/>
        <v>9680.399999999996</v>
      </c>
    </row>
    <row r="104" spans="1:12">
      <c r="A104" t="s">
        <v>19</v>
      </c>
      <c r="B104" t="s">
        <v>52</v>
      </c>
      <c r="C104" s="5">
        <v>141</v>
      </c>
      <c r="D104" s="5">
        <v>9414.7999999999993</v>
      </c>
      <c r="F104" t="str">
        <f t="shared" si="1"/>
        <v>California</v>
      </c>
      <c r="G104" t="str">
        <f t="shared" si="2"/>
        <v>Placer County</v>
      </c>
      <c r="H104">
        <f t="shared" si="3"/>
        <v>141</v>
      </c>
      <c r="J104" t="str">
        <f t="shared" si="4"/>
        <v>California</v>
      </c>
      <c r="K104" t="str">
        <f t="shared" si="5"/>
        <v>Placer County</v>
      </c>
      <c r="L104">
        <f t="shared" si="6"/>
        <v>9414.7999999999993</v>
      </c>
    </row>
    <row r="105" spans="1:12">
      <c r="A105" t="s">
        <v>19</v>
      </c>
      <c r="B105" t="s">
        <v>338</v>
      </c>
      <c r="C105" s="5">
        <v>6</v>
      </c>
      <c r="D105" s="5">
        <v>206.1</v>
      </c>
      <c r="F105" t="str">
        <f t="shared" si="1"/>
        <v>California</v>
      </c>
      <c r="G105" t="str">
        <f t="shared" si="2"/>
        <v>Plumas County</v>
      </c>
      <c r="H105">
        <f t="shared" si="3"/>
        <v>6</v>
      </c>
      <c r="J105" t="str">
        <f t="shared" si="4"/>
        <v>California</v>
      </c>
      <c r="K105" t="str">
        <f t="shared" si="5"/>
        <v>Plumas County</v>
      </c>
      <c r="L105">
        <f t="shared" si="6"/>
        <v>206.1</v>
      </c>
    </row>
    <row r="106" spans="1:12">
      <c r="A106" t="s">
        <v>19</v>
      </c>
      <c r="B106" t="s">
        <v>158</v>
      </c>
      <c r="C106" s="5">
        <v>178</v>
      </c>
      <c r="D106" s="5">
        <v>7691.3</v>
      </c>
      <c r="F106" t="str">
        <f t="shared" si="1"/>
        <v>California</v>
      </c>
      <c r="G106" t="str">
        <f t="shared" si="2"/>
        <v>Riverside County</v>
      </c>
      <c r="H106">
        <f t="shared" si="3"/>
        <v>178</v>
      </c>
      <c r="J106" t="str">
        <f t="shared" si="4"/>
        <v>California</v>
      </c>
      <c r="K106" t="str">
        <f t="shared" si="5"/>
        <v>Riverside County</v>
      </c>
      <c r="L106">
        <f t="shared" si="6"/>
        <v>7691.3</v>
      </c>
    </row>
    <row r="107" spans="1:12">
      <c r="A107" t="s">
        <v>19</v>
      </c>
      <c r="B107" t="s">
        <v>55</v>
      </c>
      <c r="C107" s="5">
        <v>699</v>
      </c>
      <c r="D107" s="5">
        <v>37784.900000000016</v>
      </c>
      <c r="F107" t="str">
        <f t="shared" si="1"/>
        <v>California</v>
      </c>
      <c r="G107" t="str">
        <f t="shared" si="2"/>
        <v>Sacramento County</v>
      </c>
      <c r="H107">
        <f t="shared" si="3"/>
        <v>699</v>
      </c>
      <c r="J107" t="str">
        <f t="shared" si="4"/>
        <v>California</v>
      </c>
      <c r="K107" t="str">
        <f t="shared" si="5"/>
        <v>Sacramento County</v>
      </c>
      <c r="L107">
        <f t="shared" si="6"/>
        <v>37784.900000000016</v>
      </c>
    </row>
    <row r="108" spans="1:12">
      <c r="A108" t="s">
        <v>19</v>
      </c>
      <c r="B108" t="s">
        <v>342</v>
      </c>
      <c r="C108" s="5">
        <v>23</v>
      </c>
      <c r="D108" s="5">
        <v>1129.7</v>
      </c>
      <c r="F108" t="str">
        <f t="shared" si="1"/>
        <v>California</v>
      </c>
      <c r="G108" t="str">
        <f t="shared" si="2"/>
        <v>San Benito County</v>
      </c>
      <c r="H108">
        <f t="shared" si="3"/>
        <v>23</v>
      </c>
      <c r="J108" t="str">
        <f t="shared" si="4"/>
        <v>California</v>
      </c>
      <c r="K108" t="str">
        <f t="shared" si="5"/>
        <v>San Benito County</v>
      </c>
      <c r="L108">
        <f t="shared" si="6"/>
        <v>1129.7</v>
      </c>
    </row>
    <row r="109" spans="1:12">
      <c r="A109" t="s">
        <v>19</v>
      </c>
      <c r="B109" t="s">
        <v>59</v>
      </c>
      <c r="C109" s="5">
        <v>356</v>
      </c>
      <c r="D109" s="5">
        <v>20988.9</v>
      </c>
      <c r="F109" t="str">
        <f t="shared" si="1"/>
        <v>California</v>
      </c>
      <c r="G109" t="str">
        <f t="shared" si="2"/>
        <v>San Bernardino County</v>
      </c>
      <c r="H109">
        <f t="shared" si="3"/>
        <v>356</v>
      </c>
      <c r="J109" t="str">
        <f t="shared" si="4"/>
        <v>California</v>
      </c>
      <c r="K109" t="str">
        <f t="shared" si="5"/>
        <v>San Bernardino County</v>
      </c>
      <c r="L109">
        <f t="shared" si="6"/>
        <v>20988.9</v>
      </c>
    </row>
    <row r="110" spans="1:12">
      <c r="A110" t="s">
        <v>19</v>
      </c>
      <c r="B110" t="s">
        <v>62</v>
      </c>
      <c r="C110" s="5">
        <v>1768</v>
      </c>
      <c r="D110" s="5">
        <v>98367.099999999977</v>
      </c>
      <c r="F110" t="str">
        <f t="shared" si="1"/>
        <v>California</v>
      </c>
      <c r="G110" t="str">
        <f t="shared" si="2"/>
        <v>San Diego County</v>
      </c>
      <c r="H110">
        <f t="shared" si="3"/>
        <v>1768</v>
      </c>
      <c r="J110" t="str">
        <f t="shared" si="4"/>
        <v>California</v>
      </c>
      <c r="K110" t="str">
        <f t="shared" si="5"/>
        <v>San Diego County</v>
      </c>
      <c r="L110">
        <f t="shared" si="6"/>
        <v>98367.099999999977</v>
      </c>
    </row>
    <row r="111" spans="1:12">
      <c r="A111" t="s">
        <v>19</v>
      </c>
      <c r="B111" t="s">
        <v>103</v>
      </c>
      <c r="C111" s="5">
        <v>307</v>
      </c>
      <c r="D111" s="5">
        <v>21911.9</v>
      </c>
      <c r="F111" t="str">
        <f t="shared" si="1"/>
        <v>California</v>
      </c>
      <c r="G111" t="str">
        <f t="shared" si="2"/>
        <v>San Francisco</v>
      </c>
      <c r="H111">
        <f t="shared" si="3"/>
        <v>307</v>
      </c>
      <c r="J111" t="str">
        <f t="shared" si="4"/>
        <v>California</v>
      </c>
      <c r="K111" t="str">
        <f t="shared" si="5"/>
        <v>San Francisco</v>
      </c>
      <c r="L111">
        <f t="shared" si="6"/>
        <v>21911.9</v>
      </c>
    </row>
    <row r="112" spans="1:12">
      <c r="A112" t="s">
        <v>19</v>
      </c>
      <c r="B112" t="s">
        <v>201</v>
      </c>
      <c r="C112" s="5">
        <v>117</v>
      </c>
      <c r="D112" s="5">
        <v>5441.2</v>
      </c>
      <c r="F112" t="str">
        <f t="shared" si="1"/>
        <v>California</v>
      </c>
      <c r="G112" t="str">
        <f t="shared" si="2"/>
        <v>San Joaquin County</v>
      </c>
      <c r="H112">
        <f t="shared" si="3"/>
        <v>117</v>
      </c>
      <c r="J112" t="str">
        <f t="shared" si="4"/>
        <v>California</v>
      </c>
      <c r="K112" t="str">
        <f t="shared" si="5"/>
        <v>San Joaquin County</v>
      </c>
      <c r="L112">
        <f t="shared" si="6"/>
        <v>5441.2</v>
      </c>
    </row>
    <row r="113" spans="1:12">
      <c r="A113" t="s">
        <v>19</v>
      </c>
      <c r="B113" t="s">
        <v>429</v>
      </c>
      <c r="C113" s="5">
        <v>13</v>
      </c>
      <c r="D113" s="5">
        <v>392.8</v>
      </c>
      <c r="F113" t="str">
        <f t="shared" si="1"/>
        <v>California</v>
      </c>
      <c r="G113" t="str">
        <f t="shared" si="2"/>
        <v>San Luis Obispo County</v>
      </c>
      <c r="H113">
        <f t="shared" si="3"/>
        <v>13</v>
      </c>
      <c r="J113" t="str">
        <f t="shared" si="4"/>
        <v>California</v>
      </c>
      <c r="K113" t="str">
        <f t="shared" si="5"/>
        <v>San Luis Obispo County</v>
      </c>
      <c r="L113">
        <f t="shared" si="6"/>
        <v>392.8</v>
      </c>
    </row>
    <row r="114" spans="1:12">
      <c r="A114" t="s">
        <v>19</v>
      </c>
      <c r="B114" t="s">
        <v>72</v>
      </c>
      <c r="C114" s="5">
        <v>364</v>
      </c>
      <c r="D114" s="5">
        <v>16172.000000000005</v>
      </c>
      <c r="F114" t="str">
        <f t="shared" si="1"/>
        <v>California</v>
      </c>
      <c r="G114" t="str">
        <f t="shared" si="2"/>
        <v>San Mateo County</v>
      </c>
      <c r="H114">
        <f t="shared" si="3"/>
        <v>364</v>
      </c>
      <c r="J114" t="str">
        <f t="shared" si="4"/>
        <v>California</v>
      </c>
      <c r="K114" t="str">
        <f t="shared" si="5"/>
        <v>San Mateo County</v>
      </c>
      <c r="L114">
        <f t="shared" si="6"/>
        <v>16172.000000000005</v>
      </c>
    </row>
    <row r="115" spans="1:12">
      <c r="A115" t="s">
        <v>19</v>
      </c>
      <c r="B115" t="s">
        <v>74</v>
      </c>
      <c r="C115" s="5">
        <v>95</v>
      </c>
      <c r="D115" s="5">
        <v>4334.9999999999991</v>
      </c>
      <c r="F115" t="str">
        <f t="shared" si="1"/>
        <v>California</v>
      </c>
      <c r="G115" t="str">
        <f t="shared" si="2"/>
        <v>Santa Barbara County</v>
      </c>
      <c r="H115">
        <f t="shared" si="3"/>
        <v>95</v>
      </c>
      <c r="J115" t="str">
        <f t="shared" si="4"/>
        <v>California</v>
      </c>
      <c r="K115" t="str">
        <f t="shared" si="5"/>
        <v>Santa Barbara County</v>
      </c>
      <c r="L115">
        <f t="shared" si="6"/>
        <v>4334.9999999999991</v>
      </c>
    </row>
    <row r="116" spans="1:12">
      <c r="A116" t="s">
        <v>19</v>
      </c>
      <c r="B116" t="s">
        <v>77</v>
      </c>
      <c r="C116" s="5">
        <v>737</v>
      </c>
      <c r="D116" s="5">
        <v>37449.000000000007</v>
      </c>
      <c r="F116" t="str">
        <f t="shared" ref="F75:F131" si="7">IF(A116="","",A116)</f>
        <v>California</v>
      </c>
      <c r="G116" t="str">
        <f t="shared" si="2"/>
        <v>Santa Clara County</v>
      </c>
      <c r="H116">
        <f t="shared" si="3"/>
        <v>737</v>
      </c>
      <c r="J116" t="str">
        <f t="shared" si="4"/>
        <v>California</v>
      </c>
      <c r="K116" t="str">
        <f t="shared" si="5"/>
        <v>Santa Clara County</v>
      </c>
      <c r="L116">
        <f t="shared" si="6"/>
        <v>37449.000000000007</v>
      </c>
    </row>
    <row r="117" spans="1:12">
      <c r="A117" t="s">
        <v>19</v>
      </c>
      <c r="B117" t="s">
        <v>309</v>
      </c>
      <c r="C117" s="5">
        <v>39</v>
      </c>
      <c r="D117" s="5">
        <v>2447.5</v>
      </c>
      <c r="F117" t="str">
        <f t="shared" si="7"/>
        <v>California</v>
      </c>
      <c r="G117" t="str">
        <f t="shared" si="2"/>
        <v>Santa Cruz County</v>
      </c>
      <c r="H117">
        <f t="shared" si="3"/>
        <v>39</v>
      </c>
      <c r="J117" t="str">
        <f t="shared" si="4"/>
        <v>California</v>
      </c>
      <c r="K117" t="str">
        <f t="shared" si="5"/>
        <v>Santa Cruz County</v>
      </c>
      <c r="L117">
        <f t="shared" si="6"/>
        <v>2447.5</v>
      </c>
    </row>
    <row r="118" spans="1:12">
      <c r="A118" t="s">
        <v>19</v>
      </c>
      <c r="B118" t="s">
        <v>1116</v>
      </c>
      <c r="C118" s="5">
        <v>56</v>
      </c>
      <c r="D118" s="5">
        <v>3391.1</v>
      </c>
      <c r="F118" t="str">
        <f t="shared" si="7"/>
        <v>California</v>
      </c>
      <c r="G118" t="str">
        <f t="shared" si="2"/>
        <v>Shasta County</v>
      </c>
      <c r="H118">
        <f t="shared" si="3"/>
        <v>56</v>
      </c>
      <c r="J118" t="str">
        <f t="shared" si="4"/>
        <v>California</v>
      </c>
      <c r="K118" t="str">
        <f t="shared" si="5"/>
        <v>Shasta County</v>
      </c>
      <c r="L118">
        <f t="shared" si="6"/>
        <v>3391.1</v>
      </c>
    </row>
    <row r="119" spans="1:12">
      <c r="A119" t="s">
        <v>19</v>
      </c>
      <c r="B119" t="s">
        <v>700</v>
      </c>
      <c r="C119" s="5">
        <v>2</v>
      </c>
      <c r="D119" s="5">
        <v>30.8</v>
      </c>
      <c r="F119" t="str">
        <f t="shared" si="7"/>
        <v>California</v>
      </c>
      <c r="G119" t="str">
        <f t="shared" si="2"/>
        <v>Sierra County</v>
      </c>
      <c r="H119">
        <f t="shared" si="3"/>
        <v>2</v>
      </c>
      <c r="J119" t="str">
        <f t="shared" si="4"/>
        <v>California</v>
      </c>
      <c r="K119" t="str">
        <f t="shared" si="5"/>
        <v>Sierra County</v>
      </c>
      <c r="L119">
        <f t="shared" si="6"/>
        <v>30.8</v>
      </c>
    </row>
    <row r="120" spans="1:12">
      <c r="A120" t="s">
        <v>19</v>
      </c>
      <c r="B120" t="s">
        <v>268</v>
      </c>
      <c r="C120" s="5">
        <v>8</v>
      </c>
      <c r="D120" s="5">
        <v>332.3</v>
      </c>
      <c r="F120" t="str">
        <f t="shared" si="7"/>
        <v>California</v>
      </c>
      <c r="G120" t="str">
        <f t="shared" si="2"/>
        <v>Siskiyou County</v>
      </c>
      <c r="H120">
        <f t="shared" si="3"/>
        <v>8</v>
      </c>
      <c r="J120" t="str">
        <f t="shared" si="4"/>
        <v>California</v>
      </c>
      <c r="K120" t="str">
        <f t="shared" si="5"/>
        <v>Siskiyou County</v>
      </c>
      <c r="L120">
        <f t="shared" si="6"/>
        <v>332.3</v>
      </c>
    </row>
    <row r="121" spans="1:12">
      <c r="A121" t="s">
        <v>19</v>
      </c>
      <c r="B121" t="s">
        <v>377</v>
      </c>
      <c r="C121" s="5">
        <v>52</v>
      </c>
      <c r="D121" s="5">
        <v>3175.9999999999995</v>
      </c>
      <c r="F121" t="str">
        <f t="shared" si="7"/>
        <v>California</v>
      </c>
      <c r="G121" t="str">
        <f t="shared" si="2"/>
        <v>Solano County</v>
      </c>
      <c r="H121">
        <f t="shared" si="3"/>
        <v>52</v>
      </c>
      <c r="J121" t="str">
        <f t="shared" si="4"/>
        <v>California</v>
      </c>
      <c r="K121" t="str">
        <f t="shared" si="5"/>
        <v>Solano County</v>
      </c>
      <c r="L121">
        <f t="shared" si="6"/>
        <v>3175.9999999999995</v>
      </c>
    </row>
    <row r="122" spans="1:12">
      <c r="A122" t="s">
        <v>19</v>
      </c>
      <c r="B122" t="s">
        <v>108</v>
      </c>
      <c r="C122" s="5">
        <v>295</v>
      </c>
      <c r="D122" s="5">
        <v>20939.600000000002</v>
      </c>
      <c r="F122" t="str">
        <f t="shared" si="7"/>
        <v>California</v>
      </c>
      <c r="G122" t="str">
        <f t="shared" si="2"/>
        <v>Sonoma County</v>
      </c>
      <c r="H122">
        <f t="shared" si="3"/>
        <v>295</v>
      </c>
      <c r="J122" t="str">
        <f t="shared" si="4"/>
        <v>California</v>
      </c>
      <c r="K122" t="str">
        <f t="shared" si="5"/>
        <v>Sonoma County</v>
      </c>
      <c r="L122">
        <f t="shared" si="6"/>
        <v>20939.600000000002</v>
      </c>
    </row>
    <row r="123" spans="1:12">
      <c r="A123" t="s">
        <v>19</v>
      </c>
      <c r="B123" t="s">
        <v>110</v>
      </c>
      <c r="C123" s="5">
        <v>195</v>
      </c>
      <c r="D123" s="5">
        <v>10185.899999999996</v>
      </c>
      <c r="F123" t="str">
        <f t="shared" si="7"/>
        <v>California</v>
      </c>
      <c r="G123" t="str">
        <f t="shared" si="2"/>
        <v>Stanislaus County</v>
      </c>
      <c r="H123">
        <f t="shared" si="3"/>
        <v>195</v>
      </c>
      <c r="J123" t="str">
        <f t="shared" si="4"/>
        <v>California</v>
      </c>
      <c r="K123" t="str">
        <f t="shared" si="5"/>
        <v>Stanislaus County</v>
      </c>
      <c r="L123">
        <f t="shared" si="6"/>
        <v>10185.899999999996</v>
      </c>
    </row>
    <row r="124" spans="1:12">
      <c r="A124" t="s">
        <v>19</v>
      </c>
      <c r="B124" t="s">
        <v>292</v>
      </c>
      <c r="C124" s="5">
        <v>20</v>
      </c>
      <c r="D124" s="5">
        <v>958.7</v>
      </c>
      <c r="F124" t="str">
        <f t="shared" si="7"/>
        <v>California</v>
      </c>
      <c r="G124" t="str">
        <f t="shared" si="2"/>
        <v>Sutter County</v>
      </c>
      <c r="H124">
        <f t="shared" si="3"/>
        <v>20</v>
      </c>
      <c r="J124" t="str">
        <f t="shared" si="4"/>
        <v>California</v>
      </c>
      <c r="K124" t="str">
        <f t="shared" si="5"/>
        <v>Sutter County</v>
      </c>
      <c r="L124">
        <f t="shared" si="6"/>
        <v>958.7</v>
      </c>
    </row>
    <row r="125" spans="1:12">
      <c r="A125" t="s">
        <v>19</v>
      </c>
      <c r="B125" t="s">
        <v>79</v>
      </c>
      <c r="C125" s="5">
        <v>6</v>
      </c>
      <c r="D125" s="5">
        <v>323</v>
      </c>
      <c r="F125" t="str">
        <f t="shared" si="7"/>
        <v>California</v>
      </c>
      <c r="G125" t="str">
        <f t="shared" si="2"/>
        <v>Tehama County</v>
      </c>
      <c r="H125">
        <f t="shared" si="3"/>
        <v>6</v>
      </c>
      <c r="J125" t="str">
        <f t="shared" si="4"/>
        <v>California</v>
      </c>
      <c r="K125" t="str">
        <f t="shared" si="5"/>
        <v>Tehama County</v>
      </c>
      <c r="L125">
        <f t="shared" si="6"/>
        <v>323</v>
      </c>
    </row>
    <row r="126" spans="1:12">
      <c r="A126" t="s">
        <v>19</v>
      </c>
      <c r="B126" t="s">
        <v>608</v>
      </c>
      <c r="C126" s="5">
        <v>5</v>
      </c>
      <c r="D126" s="5">
        <v>167.70000000000002</v>
      </c>
      <c r="F126" t="str">
        <f t="shared" si="7"/>
        <v>California</v>
      </c>
      <c r="G126" t="str">
        <f t="shared" si="2"/>
        <v>Trinity County</v>
      </c>
      <c r="H126">
        <f t="shared" si="3"/>
        <v>5</v>
      </c>
      <c r="J126" t="str">
        <f t="shared" si="4"/>
        <v>California</v>
      </c>
      <c r="K126" t="str">
        <f t="shared" si="5"/>
        <v>Trinity County</v>
      </c>
      <c r="L126">
        <f t="shared" si="6"/>
        <v>167.70000000000002</v>
      </c>
    </row>
    <row r="127" spans="1:12">
      <c r="A127" t="s">
        <v>19</v>
      </c>
      <c r="B127" t="s">
        <v>113</v>
      </c>
      <c r="C127" s="5">
        <v>94</v>
      </c>
      <c r="D127" s="5">
        <v>3978.5</v>
      </c>
      <c r="F127" t="str">
        <f t="shared" si="7"/>
        <v>California</v>
      </c>
      <c r="G127" t="str">
        <f t="shared" si="2"/>
        <v>Tulare County</v>
      </c>
      <c r="H127">
        <f t="shared" si="3"/>
        <v>94</v>
      </c>
      <c r="J127" t="str">
        <f t="shared" si="4"/>
        <v>California</v>
      </c>
      <c r="K127" t="str">
        <f t="shared" si="5"/>
        <v>Tulare County</v>
      </c>
      <c r="L127">
        <f t="shared" si="6"/>
        <v>3978.5</v>
      </c>
    </row>
    <row r="128" spans="1:12">
      <c r="A128" t="s">
        <v>19</v>
      </c>
      <c r="B128" t="s">
        <v>997</v>
      </c>
      <c r="C128" s="5">
        <v>28</v>
      </c>
      <c r="D128" s="5">
        <v>1405</v>
      </c>
      <c r="F128" t="str">
        <f t="shared" si="7"/>
        <v>California</v>
      </c>
      <c r="G128" t="str">
        <f t="shared" si="2"/>
        <v>Tuolumne County</v>
      </c>
      <c r="H128">
        <f t="shared" si="3"/>
        <v>28</v>
      </c>
      <c r="J128" t="str">
        <f t="shared" si="4"/>
        <v>California</v>
      </c>
      <c r="K128" t="str">
        <f t="shared" si="5"/>
        <v>Tuolumne County</v>
      </c>
      <c r="L128">
        <f t="shared" si="6"/>
        <v>1405</v>
      </c>
    </row>
    <row r="129" spans="1:12">
      <c r="A129" t="s">
        <v>19</v>
      </c>
      <c r="B129" t="s">
        <v>82</v>
      </c>
      <c r="C129" s="5">
        <v>179</v>
      </c>
      <c r="D129" s="5">
        <v>9869.0999999999985</v>
      </c>
      <c r="F129" t="str">
        <f t="shared" si="7"/>
        <v>California</v>
      </c>
      <c r="G129" t="str">
        <f t="shared" si="2"/>
        <v>Ventura County</v>
      </c>
      <c r="H129">
        <f t="shared" si="3"/>
        <v>179</v>
      </c>
      <c r="J129" t="str">
        <f t="shared" si="4"/>
        <v>California</v>
      </c>
      <c r="K129" t="str">
        <f t="shared" si="5"/>
        <v>Ventura County</v>
      </c>
      <c r="L129">
        <f t="shared" si="6"/>
        <v>9869.0999999999985</v>
      </c>
    </row>
    <row r="130" spans="1:12">
      <c r="A130" t="s">
        <v>19</v>
      </c>
      <c r="B130" t="s">
        <v>243</v>
      </c>
      <c r="C130" s="5">
        <v>15</v>
      </c>
      <c r="D130" s="5">
        <v>615.29999999999995</v>
      </c>
      <c r="F130" t="str">
        <f t="shared" si="7"/>
        <v>California</v>
      </c>
      <c r="G130" t="str">
        <f t="shared" si="2"/>
        <v>Yolo County</v>
      </c>
      <c r="H130">
        <f t="shared" si="3"/>
        <v>15</v>
      </c>
      <c r="J130" t="str">
        <f t="shared" si="4"/>
        <v>California</v>
      </c>
      <c r="K130" t="str">
        <f t="shared" si="5"/>
        <v>Yolo County</v>
      </c>
      <c r="L130">
        <f t="shared" si="6"/>
        <v>615.29999999999995</v>
      </c>
    </row>
    <row r="131" spans="1:12">
      <c r="A131" t="s">
        <v>19</v>
      </c>
      <c r="B131" t="s">
        <v>1911</v>
      </c>
      <c r="C131" s="5">
        <v>3</v>
      </c>
      <c r="D131" s="5">
        <v>285</v>
      </c>
      <c r="F131" t="str">
        <f t="shared" si="7"/>
        <v>California</v>
      </c>
      <c r="G131" t="str">
        <f t="shared" si="2"/>
        <v>Yuba County</v>
      </c>
      <c r="H131">
        <f t="shared" si="3"/>
        <v>3</v>
      </c>
      <c r="J131" t="str">
        <f t="shared" si="4"/>
        <v>California</v>
      </c>
      <c r="K131" t="str">
        <f t="shared" si="5"/>
        <v>Yuba County</v>
      </c>
      <c r="L131">
        <f t="shared" si="6"/>
        <v>285</v>
      </c>
    </row>
    <row r="134" spans="1:12">
      <c r="A134" t="s">
        <v>2544</v>
      </c>
    </row>
    <row r="136" spans="1:12">
      <c r="A136" s="7" t="s">
        <v>2529</v>
      </c>
      <c r="B136" t="s">
        <v>2519</v>
      </c>
    </row>
    <row r="137" spans="1:12">
      <c r="A137" s="8">
        <v>0</v>
      </c>
      <c r="B137" s="5">
        <v>175</v>
      </c>
    </row>
    <row r="138" spans="1:12">
      <c r="A138" s="8">
        <v>1</v>
      </c>
      <c r="B138" s="5">
        <v>888</v>
      </c>
    </row>
    <row r="139" spans="1:12">
      <c r="A139" s="8">
        <v>2</v>
      </c>
      <c r="B139" s="5">
        <v>538</v>
      </c>
    </row>
    <row r="140" spans="1:12">
      <c r="A140" s="8">
        <v>3</v>
      </c>
      <c r="B140" s="5">
        <v>344</v>
      </c>
    </row>
    <row r="141" spans="1:12">
      <c r="A141" s="8">
        <v>4</v>
      </c>
      <c r="B141" s="5">
        <v>200</v>
      </c>
    </row>
    <row r="142" spans="1:12">
      <c r="A142" s="8">
        <v>5</v>
      </c>
      <c r="B142" s="5">
        <v>94</v>
      </c>
    </row>
    <row r="143" spans="1:12">
      <c r="A143" s="8">
        <v>6</v>
      </c>
      <c r="B143" s="5">
        <v>51</v>
      </c>
    </row>
    <row r="144" spans="1:12">
      <c r="A144" s="8">
        <v>7</v>
      </c>
      <c r="B144" s="5">
        <v>32</v>
      </c>
    </row>
    <row r="145" spans="1:5">
      <c r="A145" s="8">
        <v>8</v>
      </c>
      <c r="B145" s="5">
        <v>23</v>
      </c>
    </row>
    <row r="146" spans="1:5">
      <c r="A146" s="8">
        <v>9</v>
      </c>
      <c r="B146" s="5">
        <v>9</v>
      </c>
    </row>
    <row r="147" spans="1:5">
      <c r="A147" s="8">
        <v>10</v>
      </c>
      <c r="B147" s="5">
        <v>8</v>
      </c>
    </row>
    <row r="148" spans="1:5">
      <c r="A148" s="8">
        <v>11</v>
      </c>
      <c r="B148" s="5">
        <v>11</v>
      </c>
    </row>
    <row r="149" spans="1:5">
      <c r="A149" s="8">
        <v>12</v>
      </c>
      <c r="B149" s="5">
        <v>4</v>
      </c>
    </row>
    <row r="150" spans="1:5">
      <c r="A150" s="8">
        <v>13</v>
      </c>
      <c r="B150" s="5">
        <v>10</v>
      </c>
    </row>
    <row r="151" spans="1:5">
      <c r="A151" s="8">
        <v>14</v>
      </c>
      <c r="B151" s="5">
        <v>13</v>
      </c>
    </row>
    <row r="152" spans="1:5">
      <c r="A152" s="8" t="s">
        <v>2530</v>
      </c>
      <c r="B152" s="5">
        <v>2400</v>
      </c>
    </row>
    <row r="155" spans="1:5">
      <c r="A155" t="s">
        <v>2545</v>
      </c>
    </row>
    <row r="157" spans="1:5">
      <c r="A157" s="7" t="s">
        <v>2519</v>
      </c>
      <c r="B157" s="7" t="s">
        <v>2531</v>
      </c>
    </row>
    <row r="158" spans="1:5">
      <c r="A158" s="7" t="s">
        <v>2529</v>
      </c>
      <c r="B158" t="s">
        <v>2546</v>
      </c>
      <c r="C158" t="s">
        <v>2547</v>
      </c>
      <c r="D158" t="s">
        <v>2548</v>
      </c>
      <c r="E158" t="s">
        <v>2530</v>
      </c>
    </row>
    <row r="159" spans="1:5">
      <c r="A159" s="8">
        <v>1</v>
      </c>
      <c r="B159" s="5">
        <v>7</v>
      </c>
      <c r="C159" s="5">
        <v>8</v>
      </c>
      <c r="D159" s="5">
        <v>6</v>
      </c>
      <c r="E159" s="5">
        <v>21</v>
      </c>
    </row>
    <row r="160" spans="1:5">
      <c r="A160" s="8">
        <v>2</v>
      </c>
      <c r="B160" s="5">
        <v>37</v>
      </c>
      <c r="C160" s="5">
        <v>51</v>
      </c>
      <c r="D160" s="5">
        <v>39</v>
      </c>
      <c r="E160" s="5">
        <v>127</v>
      </c>
    </row>
    <row r="161" spans="1:7">
      <c r="A161" s="8">
        <v>3</v>
      </c>
      <c r="B161" s="5">
        <v>150</v>
      </c>
      <c r="C161" s="5">
        <v>182</v>
      </c>
      <c r="D161" s="5">
        <v>163</v>
      </c>
      <c r="E161" s="5">
        <v>495</v>
      </c>
    </row>
    <row r="162" spans="1:7">
      <c r="A162" s="8">
        <v>4</v>
      </c>
      <c r="B162" s="5">
        <v>312</v>
      </c>
      <c r="C162" s="5">
        <v>373</v>
      </c>
      <c r="D162" s="5">
        <v>351</v>
      </c>
      <c r="E162" s="5">
        <v>1036</v>
      </c>
    </row>
    <row r="163" spans="1:7">
      <c r="A163" s="8">
        <v>5</v>
      </c>
      <c r="B163" s="5">
        <v>224</v>
      </c>
      <c r="C163" s="5">
        <v>247</v>
      </c>
      <c r="D163" s="5">
        <v>250</v>
      </c>
      <c r="E163" s="5">
        <v>721</v>
      </c>
    </row>
    <row r="164" spans="1:7">
      <c r="A164" s="8" t="s">
        <v>2530</v>
      </c>
      <c r="B164" s="5">
        <v>730</v>
      </c>
      <c r="C164" s="5">
        <v>861</v>
      </c>
      <c r="D164" s="5">
        <v>809</v>
      </c>
      <c r="E164" s="5">
        <v>2400</v>
      </c>
    </row>
    <row r="167" spans="1:7">
      <c r="A167" t="s">
        <v>2549</v>
      </c>
    </row>
    <row r="169" spans="1:7">
      <c r="A169" s="7" t="s">
        <v>2519</v>
      </c>
      <c r="B169" s="7" t="s">
        <v>2531</v>
      </c>
    </row>
    <row r="170" spans="1:7">
      <c r="A170" s="7" t="s">
        <v>2529</v>
      </c>
      <c r="B170">
        <v>1</v>
      </c>
      <c r="C170">
        <v>2</v>
      </c>
      <c r="D170">
        <v>3</v>
      </c>
      <c r="E170">
        <v>4</v>
      </c>
      <c r="F170">
        <v>5</v>
      </c>
      <c r="G170" t="s">
        <v>2530</v>
      </c>
    </row>
    <row r="171" spans="1:7">
      <c r="A171" s="8" t="s">
        <v>2546</v>
      </c>
      <c r="B171" s="5">
        <v>7</v>
      </c>
      <c r="C171" s="5">
        <v>37</v>
      </c>
      <c r="D171" s="5">
        <v>150</v>
      </c>
      <c r="E171" s="5">
        <v>312</v>
      </c>
      <c r="F171" s="5">
        <v>224</v>
      </c>
      <c r="G171" s="5">
        <v>730</v>
      </c>
    </row>
    <row r="172" spans="1:7">
      <c r="A172" s="8" t="s">
        <v>2547</v>
      </c>
      <c r="B172" s="5">
        <v>8</v>
      </c>
      <c r="C172" s="5">
        <v>51</v>
      </c>
      <c r="D172" s="5">
        <v>182</v>
      </c>
      <c r="E172" s="5">
        <v>373</v>
      </c>
      <c r="F172" s="5">
        <v>247</v>
      </c>
      <c r="G172" s="5">
        <v>861</v>
      </c>
    </row>
    <row r="173" spans="1:7">
      <c r="A173" s="8" t="s">
        <v>2548</v>
      </c>
      <c r="B173" s="5">
        <v>6</v>
      </c>
      <c r="C173" s="5">
        <v>39</v>
      </c>
      <c r="D173" s="5">
        <v>163</v>
      </c>
      <c r="E173" s="5">
        <v>351</v>
      </c>
      <c r="F173" s="5">
        <v>250</v>
      </c>
      <c r="G173" s="5">
        <v>809</v>
      </c>
    </row>
    <row r="174" spans="1:7">
      <c r="A174" s="8" t="s">
        <v>2530</v>
      </c>
      <c r="B174" s="5">
        <v>21</v>
      </c>
      <c r="C174" s="5">
        <v>127</v>
      </c>
      <c r="D174" s="5">
        <v>495</v>
      </c>
      <c r="E174" s="5">
        <v>1036</v>
      </c>
      <c r="F174" s="5">
        <v>721</v>
      </c>
      <c r="G174" s="5">
        <v>2400</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4C5A-3CD5-4A96-ADA8-8E9DD443AA89}">
  <dimension ref="A2:M14"/>
  <sheetViews>
    <sheetView workbookViewId="0">
      <selection activeCell="J65" sqref="J65"/>
    </sheetView>
  </sheetViews>
  <sheetFormatPr defaultRowHeight="14.25"/>
  <cols>
    <col min="1" max="1" width="14.25" bestFit="1" customWidth="1"/>
    <col min="2" max="2" width="16.125" bestFit="1" customWidth="1"/>
    <col min="3" max="3" width="7" bestFit="1" customWidth="1"/>
    <col min="4" max="4" width="6" bestFit="1" customWidth="1"/>
    <col min="5" max="5" width="9.125" bestFit="1" customWidth="1"/>
    <col min="6" max="6" width="11.375" bestFit="1" customWidth="1"/>
    <col min="7" max="7" width="8.875" bestFit="1" customWidth="1"/>
    <col min="8" max="8" width="11.625" customWidth="1"/>
    <col min="9" max="12" width="7.625" customWidth="1"/>
    <col min="13" max="13" width="10.625" customWidth="1"/>
  </cols>
  <sheetData>
    <row r="2" spans="1:13">
      <c r="H2" t="s">
        <v>2536</v>
      </c>
    </row>
    <row r="3" spans="1:13">
      <c r="A3" s="7" t="s">
        <v>2521</v>
      </c>
      <c r="B3" s="7" t="s">
        <v>2531</v>
      </c>
    </row>
    <row r="4" spans="1:13" ht="21.95" customHeight="1" thickBot="1">
      <c r="A4" s="7" t="s">
        <v>2529</v>
      </c>
      <c r="B4" t="s">
        <v>2532</v>
      </c>
      <c r="C4" t="s">
        <v>2533</v>
      </c>
      <c r="D4" t="s">
        <v>2534</v>
      </c>
      <c r="E4" t="s">
        <v>2535</v>
      </c>
      <c r="F4" t="s">
        <v>2530</v>
      </c>
      <c r="H4" s="16"/>
      <c r="I4" s="17" t="str">
        <f t="shared" ref="I4:L9" si="0">B4</f>
        <v>Female</v>
      </c>
      <c r="J4" s="17" t="str">
        <f t="shared" si="0"/>
        <v>Male</v>
      </c>
      <c r="K4" s="17" t="str">
        <f t="shared" si="0"/>
        <v>Other</v>
      </c>
      <c r="L4" s="18" t="str">
        <f t="shared" si="0"/>
        <v>Unknown</v>
      </c>
      <c r="M4" s="11"/>
    </row>
    <row r="5" spans="1:13" ht="21.95" customHeight="1" thickBot="1">
      <c r="A5" s="8" t="s">
        <v>18</v>
      </c>
      <c r="B5" s="10">
        <v>0.18961825201634841</v>
      </c>
      <c r="C5" s="10">
        <v>0.12262322351336576</v>
      </c>
      <c r="D5" s="10">
        <v>1.060537752469185E-2</v>
      </c>
      <c r="E5" s="10">
        <v>3.0599220547662797E-2</v>
      </c>
      <c r="F5" s="10">
        <v>0.35344607360206881</v>
      </c>
      <c r="H5" s="19" t="str">
        <f>A5</f>
        <v>App</v>
      </c>
      <c r="I5" s="15">
        <f t="shared" si="0"/>
        <v>0.18961825201634841</v>
      </c>
      <c r="J5" s="15">
        <f t="shared" si="0"/>
        <v>0.12262322351336576</v>
      </c>
      <c r="K5" s="15">
        <f t="shared" si="0"/>
        <v>1.060537752469185E-2</v>
      </c>
      <c r="L5" s="20">
        <f t="shared" si="0"/>
        <v>3.0599220547662797E-2</v>
      </c>
      <c r="M5" s="12"/>
    </row>
    <row r="6" spans="1:13" ht="21.95" customHeight="1" thickBot="1">
      <c r="A6" s="8" t="s">
        <v>51</v>
      </c>
      <c r="B6" s="10">
        <v>5.0283982091147303E-2</v>
      </c>
      <c r="C6" s="10">
        <v>4.3060781812819873E-2</v>
      </c>
      <c r="D6" s="10">
        <v>1.5320025675641944E-3</v>
      </c>
      <c r="E6" s="10">
        <v>1.7794988689097006E-2</v>
      </c>
      <c r="F6" s="10">
        <v>0.11267175516062837</v>
      </c>
      <c r="H6" s="19" t="str">
        <f>A6</f>
        <v>Instagram</v>
      </c>
      <c r="I6" s="15">
        <f t="shared" si="0"/>
        <v>5.0283982091147303E-2</v>
      </c>
      <c r="J6" s="15">
        <f t="shared" si="0"/>
        <v>4.3060781812819873E-2</v>
      </c>
      <c r="K6" s="15">
        <f t="shared" si="0"/>
        <v>1.5320025675641944E-3</v>
      </c>
      <c r="L6" s="20">
        <f t="shared" si="0"/>
        <v>1.7794988689097006E-2</v>
      </c>
      <c r="M6" s="12"/>
    </row>
    <row r="7" spans="1:13" ht="21.95" customHeight="1" thickBot="1">
      <c r="A7" s="8" t="s">
        <v>70</v>
      </c>
      <c r="B7" s="10">
        <v>6.3496059750411282E-2</v>
      </c>
      <c r="C7" s="10">
        <v>4.6071629863988765E-2</v>
      </c>
      <c r="D7" s="10">
        <v>2.306247051322625E-3</v>
      </c>
      <c r="E7" s="10">
        <v>3.8927934093844286E-3</v>
      </c>
      <c r="F7" s="10">
        <v>0.11576673007510711</v>
      </c>
      <c r="H7" s="19" t="str">
        <f>A7</f>
        <v>Partner App</v>
      </c>
      <c r="I7" s="15">
        <f t="shared" si="0"/>
        <v>6.3496059750411282E-2</v>
      </c>
      <c r="J7" s="15">
        <f t="shared" si="0"/>
        <v>4.6071629863988765E-2</v>
      </c>
      <c r="K7" s="15">
        <f t="shared" si="0"/>
        <v>2.306247051322625E-3</v>
      </c>
      <c r="L7" s="20">
        <f t="shared" si="0"/>
        <v>3.8927934093844286E-3</v>
      </c>
      <c r="M7" s="12"/>
    </row>
    <row r="8" spans="1:13" ht="21.95" customHeight="1" thickBot="1">
      <c r="A8" s="8" t="s">
        <v>40</v>
      </c>
      <c r="B8" s="10">
        <v>9.6337892927149532E-2</v>
      </c>
      <c r="C8" s="10">
        <v>6.7920115842382611E-2</v>
      </c>
      <c r="D8" s="10">
        <v>5.4979832664581261E-3</v>
      </c>
      <c r="E8" s="10">
        <v>1.2933041488102518E-2</v>
      </c>
      <c r="F8" s="10">
        <v>0.1826890335240928</v>
      </c>
      <c r="H8" s="19" t="str">
        <f>A8</f>
        <v>Target.com</v>
      </c>
      <c r="I8" s="15">
        <f t="shared" si="0"/>
        <v>9.6337892927149532E-2</v>
      </c>
      <c r="J8" s="15">
        <f t="shared" si="0"/>
        <v>6.7920115842382611E-2</v>
      </c>
      <c r="K8" s="15">
        <f t="shared" si="0"/>
        <v>5.4979832664581261E-3</v>
      </c>
      <c r="L8" s="20">
        <f t="shared" si="0"/>
        <v>1.2933041488102518E-2</v>
      </c>
      <c r="M8" s="12"/>
    </row>
    <row r="9" spans="1:13" ht="21.95" customHeight="1">
      <c r="A9" s="8" t="s">
        <v>35</v>
      </c>
      <c r="B9" s="10">
        <v>0.12522098709469262</v>
      </c>
      <c r="C9" s="10">
        <v>9.1492740283116228E-2</v>
      </c>
      <c r="D9" s="10">
        <v>6.3042760790965081E-3</v>
      </c>
      <c r="E9" s="10">
        <v>1.2408404181197551E-2</v>
      </c>
      <c r="F9" s="10">
        <v>0.23542640763810288</v>
      </c>
      <c r="H9" s="21" t="str">
        <f>A9</f>
        <v>Website</v>
      </c>
      <c r="I9" s="22">
        <f t="shared" si="0"/>
        <v>0.12522098709469262</v>
      </c>
      <c r="J9" s="22">
        <f t="shared" si="0"/>
        <v>9.1492740283116228E-2</v>
      </c>
      <c r="K9" s="22">
        <f t="shared" si="0"/>
        <v>6.3042760790965081E-3</v>
      </c>
      <c r="L9" s="23">
        <f t="shared" si="0"/>
        <v>1.2408404181197551E-2</v>
      </c>
      <c r="M9" s="12"/>
    </row>
    <row r="10" spans="1:13">
      <c r="A10" s="8" t="s">
        <v>2530</v>
      </c>
      <c r="B10" s="10">
        <v>0.52495717387974916</v>
      </c>
      <c r="C10" s="10">
        <v>0.3711684913156732</v>
      </c>
      <c r="D10" s="10">
        <v>2.6245886489133303E-2</v>
      </c>
      <c r="E10" s="10">
        <v>7.7628448315444312E-2</v>
      </c>
      <c r="F10" s="10">
        <v>1</v>
      </c>
    </row>
    <row r="13" spans="1:13">
      <c r="H13" s="14"/>
    </row>
    <row r="14" spans="1:13">
      <c r="J14" s="13"/>
    </row>
  </sheetData>
  <conditionalFormatting sqref="J15">
    <cfRule type="colorScale" priority="2">
      <colorScale>
        <cfvo type="min"/>
        <cfvo type="percentile" val="50"/>
        <cfvo type="max"/>
        <color rgb="FF5A8AC6"/>
        <color rgb="FFFCFCFF"/>
        <color rgb="FFF8696B"/>
      </colorScale>
    </cfRule>
  </conditionalFormatting>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6" sqref="B6"/>
    </sheetView>
  </sheetViews>
  <sheetFormatPr defaultRowHeight="14.25"/>
  <cols>
    <col min="2" max="2" width="19.125" bestFit="1" customWidth="1"/>
    <col min="3" max="3" width="8.125" bestFit="1" customWidth="1"/>
    <col min="4" max="4" width="9.125" bestFit="1" customWidth="1"/>
    <col min="5" max="5" width="7.5" bestFit="1" customWidth="1"/>
    <col min="6" max="6" width="10" bestFit="1" customWidth="1"/>
    <col min="7" max="7" width="9.5" bestFit="1" customWidth="1"/>
    <col min="8" max="8" width="15.625" bestFit="1" customWidth="1"/>
    <col min="9" max="9" width="10.625" bestFit="1" customWidth="1"/>
    <col min="10" max="10" width="7.75" bestFit="1" customWidth="1"/>
    <col min="11" max="11" width="8.75" bestFit="1" customWidth="1"/>
    <col min="12" max="12" width="19.625" bestFit="1" customWidth="1"/>
    <col min="13" max="13" width="13.375" bestFit="1" customWidth="1"/>
    <col min="14" max="14" width="9.375" bestFit="1" customWidth="1"/>
    <col min="15" max="15" width="12.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25"/>
  <cols>
    <col min="1" max="1" width="3.625" customWidth="1"/>
    <col min="2" max="2" width="52.75" customWidth="1"/>
  </cols>
  <sheetData>
    <row r="2" spans="2:2" ht="15">
      <c r="B2" s="3" t="s">
        <v>2503</v>
      </c>
    </row>
    <row r="3" spans="2:2">
      <c r="B3" s="4" t="s">
        <v>2504</v>
      </c>
    </row>
    <row r="4" spans="2:2">
      <c r="B4" s="4" t="s">
        <v>2505</v>
      </c>
    </row>
    <row r="5" spans="2:2">
      <c r="B5" s="4" t="s">
        <v>2506</v>
      </c>
    </row>
    <row r="6" spans="2:2">
      <c r="B6" s="4" t="s">
        <v>2507</v>
      </c>
    </row>
    <row r="7" spans="2:2">
      <c r="B7" s="4" t="s">
        <v>2508</v>
      </c>
    </row>
    <row r="10" spans="2:2" ht="15">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56D1-7091-440F-BA33-9755D74F2D91}">
  <dimension ref="A1"/>
  <sheetViews>
    <sheetView tabSelected="1" zoomScale="80" zoomScaleNormal="80" workbookViewId="0">
      <selection activeCell="U57" sqref="U57"/>
    </sheetView>
  </sheetViews>
  <sheetFormatPr defaultRowHeight="14.25"/>
  <cols>
    <col min="1" max="1" width="4.75" customWidth="1"/>
    <col min="2" max="2" width="14" customWidth="1"/>
    <col min="3" max="3" width="4"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Line Chart1</vt:lpstr>
      <vt:lpstr>order_mode</vt:lpstr>
      <vt:lpstr>Data</vt:lpstr>
      <vt:lpstr>Questions &amp; KPIs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LocalUser</cp:lastModifiedBy>
  <dcterms:created xsi:type="dcterms:W3CDTF">2025-06-13T02:42:26Z</dcterms:created>
  <dcterms:modified xsi:type="dcterms:W3CDTF">2026-09-06T12:43:03Z</dcterms:modified>
</cp:coreProperties>
</file>